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TUNJUK" sheetId="1" state="visible" r:id="rId3"/>
    <sheet name="LAPORAN ANALISA" sheetId="2" state="visible" r:id="rId4"/>
    <sheet name="REKAP" sheetId="3" state="visible" r:id="rId5"/>
    <sheet name="INDUKAN" sheetId="4" state="visible" r:id="rId6"/>
    <sheet name="ANAKAN" sheetId="5" state="visible" r:id="rId7"/>
    <sheet name="HISTORI EARTAG" sheetId="6" state="visible" r:id="rId8"/>
    <sheet name="FOLDER GDRIVE" sheetId="7" state="visible" r:id="rId9"/>
    <sheet name="PERLU KONFIRMASI" sheetId="8" state="visible" r:id="rId10"/>
    <sheet name="KELAHIRAN AWAL" sheetId="9" state="visible" r:id="rId11"/>
    <sheet name="REFERENSI" sheetId="10" state="visible" r:id="rId12"/>
  </sheets>
  <definedNames>
    <definedName function="false" hidden="false" name="GEN_ANAK" vbProcedure="false">REFERENSI!$A$18:$B$26</definedName>
    <definedName function="false" hidden="false" name="WARNA_EARTAG" vbProcedure="false">REFERENSI!$A$4:$B$14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<sst xmlns="http://schemas.openxmlformats.org/spreadsheetml/2006/main" count="3615" uniqueCount="1036">
  <si>
    <t xml:space="preserve">DATABASE MASTER TERNAK SFI (v2)</t>
  </si>
  <si>
    <t xml:space="preserve">Sudah menerapkan seluruh aturan konfirmasi Anda</t>
  </si>
  <si>
    <t xml:space="preserve">WARNA SEL</t>
  </si>
  <si>
    <t xml:space="preserve">Biru</t>
  </si>
  <si>
    <t xml:space="preserve">Isian manual</t>
  </si>
  <si>
    <t xml:space="preserve">Kuning</t>
  </si>
  <si>
    <t xml:space="preserve">ASUMSI/perlu dilengkapi</t>
  </si>
  <si>
    <t xml:space="preserve">Merah</t>
  </si>
  <si>
    <t xml:space="preserve">Perlu konfirmasi</t>
  </si>
  <si>
    <t xml:space="preserve">Hijau</t>
  </si>
  <si>
    <t xml:space="preserve">Otomatis (rumus)</t>
  </si>
  <si>
    <t xml:space="preserve">Oranye</t>
  </si>
  <si>
    <t xml:space="preserve">Milik SFI</t>
  </si>
  <si>
    <t xml:space="preserve">ATURAN WARNA EARTAG</t>
  </si>
  <si>
    <t xml:space="preserve">Lokal / Garut / Cross / Merino / Teksel</t>
  </si>
  <si>
    <t xml:space="preserve">F1</t>
  </si>
  <si>
    <t xml:space="preserve">F2</t>
  </si>
  <si>
    <t xml:space="preserve">Orange</t>
  </si>
  <si>
    <t xml:space="preserve">F3</t>
  </si>
  <si>
    <t xml:space="preserve">Fullblood Dorper</t>
  </si>
  <si>
    <t xml:space="preserve">Original</t>
  </si>
  <si>
    <t xml:space="preserve">ATURAN GENERASI ANAKAN</t>
  </si>
  <si>
    <t xml:space="preserve">Indukan lokal/garut/cross/merino/teksel</t>
  </si>
  <si>
    <t xml:space="preserve">Anakan = F1</t>
  </si>
  <si>
    <t xml:space="preserve">Indukan F1</t>
  </si>
  <si>
    <t xml:space="preserve">Anakan = F2</t>
  </si>
  <si>
    <t xml:space="preserve">Indukan F2</t>
  </si>
  <si>
    <t xml:space="preserve">Anakan = F3</t>
  </si>
  <si>
    <t xml:space="preserve">Indukan Fullblood Dorper</t>
  </si>
  <si>
    <t xml:space="preserve">Anakan = PURE</t>
  </si>
  <si>
    <t xml:space="preserve">ATURAN PENOMORAN UNIK</t>
  </si>
  <si>
    <t xml:space="preserve">Format: NOMOR-MITRA (mis. 213-OKI)</t>
  </si>
  <si>
    <t xml:space="preserve">Bila nomor sama dipakai induk &amp; anak: NOMOR-MITRA-INDUK / NOMOR-MITRA-ANAK</t>
  </si>
  <si>
    <t xml:space="preserve">Data yang DICORET di catatan tangan tidak dipakai</t>
  </si>
  <si>
    <t xml:space="preserve">ASUMSI YANG SAYA PAKAI (bisa Anda ubah)</t>
  </si>
  <si>
    <t xml:space="preserve">BB indukan belum ada</t>
  </si>
  <si>
    <t xml:space="preserve">35 kg</t>
  </si>
  <si>
    <t xml:space="preserve">BB anakan lahir tunggal</t>
  </si>
  <si>
    <t xml:space="preserve">4,5 kg</t>
  </si>
  <si>
    <t xml:space="preserve">BB anakan kembar 2</t>
  </si>
  <si>
    <t xml:space="preserve">3,5 kg</t>
  </si>
  <si>
    <t xml:space="preserve">BB anakan kembar 3</t>
  </si>
  <si>
    <t xml:space="preserve">2,5 kg</t>
  </si>
  <si>
    <t xml:space="preserve">Harga indukan SFI lokal</t>
  </si>
  <si>
    <t xml:space="preserve">Rp 4.500.000</t>
  </si>
  <si>
    <t xml:space="preserve">Harga indukan SFI F1</t>
  </si>
  <si>
    <t xml:space="preserve">Rp 5.500.000</t>
  </si>
  <si>
    <t xml:space="preserve">Harga indukan SFI F2</t>
  </si>
  <si>
    <t xml:space="preserve">Rp 6.500.000</t>
  </si>
  <si>
    <t xml:space="preserve">Harga cempe 1-3 bulan</t>
  </si>
  <si>
    <t xml:space="preserve">Rp 750.000</t>
  </si>
  <si>
    <t xml:space="preserve">Harga cempe &gt; 3 bulan</t>
  </si>
  <si>
    <t xml:space="preserve">Rp 1.250.000</t>
  </si>
  <si>
    <t xml:space="preserve">Kandang indukan tidak melahirkan</t>
  </si>
  <si>
    <t xml:space="preserve">Koloni 1 &amp; 2 (bagi rata)</t>
  </si>
  <si>
    <t xml:space="preserve">Kandang cempe 1-3 bulan</t>
  </si>
  <si>
    <t xml:space="preserve">Menyusui 1</t>
  </si>
  <si>
    <t xml:space="preserve">Kandang cempe &gt; 3 bulan</t>
  </si>
  <si>
    <t xml:space="preserve">Penggemukan 1-4 (bagi rata)</t>
  </si>
  <si>
    <t xml:space="preserve">LAPORAN ANALISA PETERNAKAN</t>
  </si>
  <si>
    <t xml:space="preserve">SAHABAT FARM INDONESIA (SFI)</t>
  </si>
  <si>
    <t xml:space="preserve">Periode data: September 2025 - Juli 2026  |  Disusun: 20 Juli 2026</t>
  </si>
  <si>
    <t xml:space="preserve">Sumber: rekonsiliasi catatan lapangan tulisan tangan dengan pembukuan digital 5 mitra</t>
  </si>
  <si>
    <t xml:space="preserve">  1. RINGKASAN EKSEKUTIF</t>
  </si>
  <si>
    <t xml:space="preserve">Total populasi ternak (hidup)</t>
  </si>
  <si>
    <t xml:space="preserve">ekor</t>
  </si>
  <si>
    <t xml:space="preserve">Indukan produktif</t>
  </si>
  <si>
    <t xml:space="preserve">Anakan (cempe) hidup</t>
  </si>
  <si>
    <t xml:space="preserve">Tingkat kelangsungan hidup</t>
  </si>
  <si>
    <t xml:space="preserve">99.0%</t>
  </si>
  <si>
    <t xml:space="preserve">sangat baik</t>
  </si>
  <si>
    <t xml:space="preserve">Total kelahiran tercatat</t>
  </si>
  <si>
    <t xml:space="preserve">kali partus</t>
  </si>
  <si>
    <t xml:space="preserve">Rata-rata anak per kelahiran</t>
  </si>
  <si>
    <t xml:space="preserve">1.44</t>
  </si>
  <si>
    <t xml:space="preserve">Rata-rata bobot lahir</t>
  </si>
  <si>
    <t xml:space="preserve">3.70 kg</t>
  </si>
  <si>
    <t xml:space="preserve">dari 90 data</t>
  </si>
  <si>
    <t xml:space="preserve">Nilai aset ternak</t>
  </si>
  <si>
    <t xml:space="preserve">Rp 450.2 Juta</t>
  </si>
  <si>
    <t xml:space="preserve">indukan + anakan</t>
  </si>
  <si>
    <t xml:space="preserve">  2. STRUKTUR KEPEMILIKAN</t>
  </si>
  <si>
    <t xml:space="preserve">PEMILIK</t>
  </si>
  <si>
    <t xml:space="preserve">INDUKAN</t>
  </si>
  <si>
    <t xml:space="preserve">ANAKAN</t>
  </si>
  <si>
    <t xml:space="preserve">TOTAL</t>
  </si>
  <si>
    <t xml:space="preserve">% POPULASI</t>
  </si>
  <si>
    <t xml:space="preserve">FAHRI</t>
  </si>
  <si>
    <t xml:space="preserve">OKI</t>
  </si>
  <si>
    <t xml:space="preserve">LETA</t>
  </si>
  <si>
    <t xml:space="preserve">AGENG</t>
  </si>
  <si>
    <t xml:space="preserve">VINA</t>
  </si>
  <si>
    <t xml:space="preserve">SFI</t>
  </si>
  <si>
    <t xml:space="preserve">Catatan: 59% populasi dimiliki SFI (inti), 41% dimiliki 5 mitra investor.</t>
  </si>
  <si>
    <t xml:space="preserve">  3. KINERJA REPRODUKSI</t>
  </si>
  <si>
    <t xml:space="preserve">Indukan sudah beranak</t>
  </si>
  <si>
    <t xml:space="preserve">59 dari 64 ekor</t>
  </si>
  <si>
    <t xml:space="preserve">Tingkat keberhasilan beranak</t>
  </si>
  <si>
    <t xml:space="preserve">92.2%</t>
  </si>
  <si>
    <t xml:space="preserve">Rata-rata anakan per indukan</t>
  </si>
  <si>
    <t xml:space="preserve">1.73 ekor</t>
  </si>
  <si>
    <t xml:space="preserve">Rata-rata jarak antar kelahiran</t>
  </si>
  <si>
    <t xml:space="preserve">133 hari</t>
  </si>
  <si>
    <t xml:space="preserve">Siklus per tahun (estimasi)</t>
  </si>
  <si>
    <t xml:space="preserve">2.74 kali</t>
  </si>
  <si>
    <t xml:space="preserve">DISTRIBUSI JUMLAH ANAK PER KELAHIRAN</t>
  </si>
  <si>
    <t xml:space="preserve">Jumlah anak</t>
  </si>
  <si>
    <t xml:space="preserve">Kejadian</t>
  </si>
  <si>
    <t xml:space="preserve">Persentase</t>
  </si>
  <si>
    <t xml:space="preserve">1 ekor (tunggal)</t>
  </si>
  <si>
    <t xml:space="preserve">2 ekor (kembar 2)</t>
  </si>
  <si>
    <t xml:space="preserve">3 ekor (kembar 3)</t>
  </si>
  <si>
    <t xml:space="preserve">Analisa: 35% kelahiran menghasilkan anak kembar - indikator kesuburan yang baik untuk domba Dorper.</t>
  </si>
  <si>
    <t xml:space="preserve">  4. KUALITAS GENETIK (BOBOT LAHIR)</t>
  </si>
  <si>
    <t xml:space="preserve">Bobot terendah</t>
  </si>
  <si>
    <t xml:space="preserve">1.60 kg</t>
  </si>
  <si>
    <t xml:space="preserve">Bobot tertinggi</t>
  </si>
  <si>
    <t xml:space="preserve">6.80 kg</t>
  </si>
  <si>
    <t xml:space="preserve">BOBOT LAHIR PER JENIS INDUKAN</t>
  </si>
  <si>
    <t xml:space="preserve">Jenis Indukan</t>
  </si>
  <si>
    <t xml:space="preserve">Jumlah Data</t>
  </si>
  <si>
    <t xml:space="preserve">Rata-rata BB (kg)</t>
  </si>
  <si>
    <t xml:space="preserve">F2 Dorper</t>
  </si>
  <si>
    <t xml:space="preserve">Lokal/Komposit</t>
  </si>
  <si>
    <t xml:space="preserve">F1 Dorper</t>
  </si>
  <si>
    <t xml:space="preserve">Domba Garut</t>
  </si>
  <si>
    <t xml:space="preserve">Analisa: indukan F2 Dorper menghasilkan bobot lahir tertinggi (3,94 kg), membuktikan</t>
  </si>
  <si>
    <t xml:space="preserve">peningkatan mutu genetik seiring naiknya tingkat grading Dorper.</t>
  </si>
  <si>
    <t xml:space="preserve">  5. KOMPOSISI GENETIK ANAKAN</t>
  </si>
  <si>
    <t xml:space="preserve">Generasi</t>
  </si>
  <si>
    <t xml:space="preserve">Jumlah</t>
  </si>
  <si>
    <t xml:space="preserve">Warna Eartag</t>
  </si>
  <si>
    <t xml:space="preserve">PURE</t>
  </si>
  <si>
    <t xml:space="preserve">Program grading-up berjalan: 44% anakan sudah mencapai generasi F2 ke atas.</t>
  </si>
  <si>
    <t xml:space="preserve">  6. TREN KELAHIRAN BULANAN</t>
  </si>
  <si>
    <t xml:space="preserve">Bulan</t>
  </si>
  <si>
    <t xml:space="preserve">Jumlah Kelahiran</t>
  </si>
  <si>
    <t xml:space="preserve">Sep 25</t>
  </si>
  <si>
    <t xml:space="preserve">Okt 25</t>
  </si>
  <si>
    <t xml:space="preserve">Nov 25</t>
  </si>
  <si>
    <t xml:space="preserve">Des 25</t>
  </si>
  <si>
    <t xml:space="preserve">Feb 26</t>
  </si>
  <si>
    <t xml:space="preserve">Apr 26</t>
  </si>
  <si>
    <t xml:space="preserve">Mei 26</t>
  </si>
  <si>
    <t xml:space="preserve">Jun 26</t>
  </si>
  <si>
    <t xml:space="preserve">Jul 26</t>
  </si>
  <si>
    <t xml:space="preserve">  7. STATUS TERNAK SAAT INI</t>
  </si>
  <si>
    <t xml:space="preserve">Status</t>
  </si>
  <si>
    <t xml:space="preserve">Cempe Lahir</t>
  </si>
  <si>
    <t xml:space="preserve">Cempe Sapih</t>
  </si>
  <si>
    <t xml:space="preserve">Bakalan</t>
  </si>
  <si>
    <t xml:space="preserve">Dara</t>
  </si>
  <si>
    <t xml:space="preserve">Betina Siap Kawin</t>
  </si>
  <si>
    <t xml:space="preserve">Jantan Siap Kawin</t>
  </si>
  <si>
    <t xml:space="preserve">Potensi jual jangka pendek: 28 bakalan jantan siap penggemukan.</t>
  </si>
  <si>
    <t xml:space="preserve">Potensi replacement: 18 dara + 12 betina siap kawin.</t>
  </si>
  <si>
    <t xml:space="preserve">  8. NILAI ASET &amp; PROYEKSI</t>
  </si>
  <si>
    <t xml:space="preserve">Nilai indukan (mitra)</t>
  </si>
  <si>
    <t xml:space="preserve">Nilai indukan (SFI)</t>
  </si>
  <si>
    <t xml:space="preserve">Nilai anakan (hidup)</t>
  </si>
  <si>
    <t xml:space="preserve">TOTAL NILAI ASET</t>
  </si>
  <si>
    <t xml:space="preserve">Proyeksi kelahiran/tahun</t>
  </si>
  <si>
    <t xml:space="preserve">232 ekor</t>
  </si>
  <si>
    <t xml:space="preserve">59 indukan x 2,74 siklus x 1,44 anak</t>
  </si>
  <si>
    <t xml:space="preserve">  9. 10 INDUKAN PALING PRODUKTIF</t>
  </si>
  <si>
    <t xml:space="preserve">Peringkat</t>
  </si>
  <si>
    <t xml:space="preserve">Tag</t>
  </si>
  <si>
    <t xml:space="preserve">Pemilik</t>
  </si>
  <si>
    <t xml:space="preserve">Jenis</t>
  </si>
  <si>
    <t xml:space="preserve">Total Anakan</t>
  </si>
  <si>
    <t xml:space="preserve">171</t>
  </si>
  <si>
    <t xml:space="preserve">061</t>
  </si>
  <si>
    <t xml:space="preserve">174</t>
  </si>
  <si>
    <t xml:space="preserve">160</t>
  </si>
  <si>
    <t xml:space="preserve">046</t>
  </si>
  <si>
    <t xml:space="preserve">170</t>
  </si>
  <si>
    <t xml:space="preserve">011</t>
  </si>
  <si>
    <t xml:space="preserve">36</t>
  </si>
  <si>
    <t xml:space="preserve">184</t>
  </si>
  <si>
    <t xml:space="preserve">042</t>
  </si>
  <si>
    <t xml:space="preserve">  10. KEUNGGULAN OPERASIONAL SFI</t>
  </si>
  <si>
    <t xml:space="preserve">- Recording individual per ekor: setiap ternak punya nomor eartag, riwayat induk, bobot lahir, dan dokumentasi foto.</t>
  </si>
  <si>
    <t xml:space="preserve">- Tingkat kelangsungan hidup 99.0% - jauh di atas rata-rata industri domba rakyat (85-90%).</t>
  </si>
  <si>
    <t xml:space="preserve">- Sistem eartag berwarna per generasi memudahkan identifikasi mutu genetik secara visual di lapangan.</t>
  </si>
  <si>
    <t xml:space="preserve">- Program grading-up terstruktur: lokal - F1 - F2 - F3 Dorper untuk peningkatan bobot dan pertumbuhan.</t>
  </si>
  <si>
    <t xml:space="preserve">- Transparansi penuh untuk mitra: setiap investor punya file recording sendiri yang tersinkronisasi.</t>
  </si>
  <si>
    <t xml:space="preserve">- Dokumentasi foto/video per ekor tersimpan di Google Drive, dapat diakses mitra kapan saja.</t>
  </si>
  <si>
    <t xml:space="preserve">Disusun otomatis dari database SFI_MASTER_TERNAK. Angka dapat diverifikasi pada sheet INDUKAN &amp; ANAKAN.</t>
  </si>
  <si>
    <t xml:space="preserve">REKAP POPULASI TERNAK SFI</t>
  </si>
  <si>
    <t xml:space="preserve">A. POPULASI PER PEMILIK</t>
  </si>
  <si>
    <t xml:space="preserve">HIDUP</t>
  </si>
  <si>
    <t xml:space="preserve">MATI</t>
  </si>
  <si>
    <t xml:space="preserve">NILAI INDUKAN (Rp)</t>
  </si>
  <si>
    <t xml:space="preserve">B. STATUS TERNAK</t>
  </si>
  <si>
    <t xml:space="preserve">STATUS</t>
  </si>
  <si>
    <t xml:space="preserve">JUMLAH</t>
  </si>
  <si>
    <t xml:space="preserve">C. GENERASI ANAKAN</t>
  </si>
  <si>
    <t xml:space="preserve">GENERASI</t>
  </si>
  <si>
    <t xml:space="preserve">WARNA EARTAG</t>
  </si>
  <si>
    <t xml:space="preserve">F4</t>
  </si>
  <si>
    <t xml:space="preserve">D. TOTAL POPULASI</t>
  </si>
  <si>
    <t xml:space="preserve">Total Indukan</t>
  </si>
  <si>
    <t xml:space="preserve">Total Anakan Hidup</t>
  </si>
  <si>
    <t xml:space="preserve">TOTAL TERNAK HIDUP</t>
  </si>
  <si>
    <t xml:space="preserve">E. KUALITAS DATA</t>
  </si>
  <si>
    <t xml:space="preserve">Perlu dilengkapi</t>
  </si>
  <si>
    <t xml:space="preserve">BB anakan asumsi</t>
  </si>
  <si>
    <t xml:space="preserve">Folder GDrive dibuat</t>
  </si>
  <si>
    <t xml:space="preserve">Indukan belum ada nomor</t>
  </si>
  <si>
    <t xml:space="preserve">Anakan belum ada nomor</t>
  </si>
  <si>
    <t xml:space="preserve">DATA INDUKAN SFI (Mitra + Milik SFI)</t>
  </si>
  <si>
    <t xml:space="preserve">Tgl acuan:</t>
  </si>
  <si>
    <t xml:space="preserve">NO</t>
  </si>
  <si>
    <t xml:space="preserve">TAG FINAL</t>
  </si>
  <si>
    <t xml:space="preserve">NOMOR</t>
  </si>
  <si>
    <t xml:space="preserve">TAG LAMA</t>
  </si>
  <si>
    <t xml:space="preserve">JENIS</t>
  </si>
  <si>
    <t xml:space="preserve">BREED (SISTEM)</t>
  </si>
  <si>
    <t xml:space="preserve">JENIS KELAMIN</t>
  </si>
  <si>
    <t xml:space="preserve">CIRI FISIK</t>
  </si>
  <si>
    <t xml:space="preserve">TGL LAHIR</t>
  </si>
  <si>
    <t xml:space="preserve">USIA (BLN)</t>
  </si>
  <si>
    <t xml:space="preserve">BB (KG)</t>
  </si>
  <si>
    <t xml:space="preserve">HARGA (Rp)</t>
  </si>
  <si>
    <t xml:space="preserve">KANDANG</t>
  </si>
  <si>
    <t xml:space="preserve">TOTAL SIKLUS</t>
  </si>
  <si>
    <t xml:space="preserve">TOTAL ANAKAN</t>
  </si>
  <si>
    <t xml:space="preserve">ANAKAN HIDUP</t>
  </si>
  <si>
    <t xml:space="preserve">ANAKAN MATI</t>
  </si>
  <si>
    <t xml:space="preserve">LINK FOTO/VIDEO</t>
  </si>
  <si>
    <t xml:space="preserve">SUMBER</t>
  </si>
  <si>
    <t xml:space="preserve">PERLU DILENGKAPI</t>
  </si>
  <si>
    <t xml:space="preserve">ANAKAN TERKAIT</t>
  </si>
  <si>
    <t xml:space="preserve">F1 DORPER</t>
  </si>
  <si>
    <t xml:space="preserve">Betina</t>
  </si>
  <si>
    <t xml:space="preserve">Full Blackhead ada corak putih di kepala tengah tanpa tanduk</t>
  </si>
  <si>
    <t xml:space="preserve">Kandang Koloni 1</t>
  </si>
  <si>
    <t xml:space="preserve">file mitra</t>
  </si>
  <si>
    <t xml:space="preserve">157</t>
  </si>
  <si>
    <t xml:space="preserve">67</t>
  </si>
  <si>
    <t xml:space="preserve">BlackHead ada corak hitam di punggung atas dan tanpa tanduk</t>
  </si>
  <si>
    <t xml:space="preserve">Kandang Koloni 2</t>
  </si>
  <si>
    <t xml:space="preserve">82</t>
  </si>
  <si>
    <t xml:space="preserve">kacamata hitam sampai pipi, tanpa tanduk, atas kepala putih.</t>
  </si>
  <si>
    <t xml:space="preserve">161</t>
  </si>
  <si>
    <t xml:space="preserve">83</t>
  </si>
  <si>
    <t xml:space="preserve">kacamata hitam sampai pipi dan ada hitam sedikit di telinga tanpa tanduk</t>
  </si>
  <si>
    <t xml:space="preserve">192</t>
  </si>
  <si>
    <t xml:space="preserve">Full blackhead tanpa tanduk</t>
  </si>
  <si>
    <t xml:space="preserve">Kandang Menyusui 1 (Individu)</t>
  </si>
  <si>
    <t xml:space="preserve">213-OKI-INDUK</t>
  </si>
  <si>
    <t xml:space="preserve">213</t>
  </si>
  <si>
    <t xml:space="preserve">F2 DORPER</t>
  </si>
  <si>
    <t xml:space="preserve">Full Blackhead tanpa tanduk</t>
  </si>
  <si>
    <t xml:space="preserve">292-OKI-INDUK</t>
  </si>
  <si>
    <t xml:space="preserve">292</t>
  </si>
  <si>
    <t xml:space="preserve">Full Blackhead tanpa tanduk, dan corak hitam di punggung tengah</t>
  </si>
  <si>
    <t xml:space="preserve">284</t>
  </si>
  <si>
    <t xml:space="preserve">671</t>
  </si>
  <si>
    <t xml:space="preserve">Full blackhead tanpa tanduk hingga hitam ke kedua kaki. Di sala satu kaki depan ada bagian putih di telapak</t>
  </si>
  <si>
    <t xml:space="preserve">277</t>
  </si>
  <si>
    <t xml:space="preserve">240</t>
  </si>
  <si>
    <t xml:space="preserve">full blackhead rapih badan putih</t>
  </si>
  <si>
    <t xml:space="preserve">291</t>
  </si>
  <si>
    <t xml:space="preserve">290</t>
  </si>
  <si>
    <t xml:space="preserve">blackhead sampai dagu. Ada corak bulat putih di kepala atas antara tanduk.</t>
  </si>
  <si>
    <t xml:space="preserve">268</t>
  </si>
  <si>
    <t xml:space="preserve">kacamata hitam sampai pipi, corak putih dari kepala sampai hidung mulut, badan full putih</t>
  </si>
  <si>
    <t xml:space="preserve">300</t>
  </si>
  <si>
    <t xml:space="preserve">blackhead, tanpa tanduk, corak putih di kepala atas, badan full putih</t>
  </si>
  <si>
    <t xml:space="preserve">282</t>
  </si>
  <si>
    <t xml:space="preserve">235</t>
  </si>
  <si>
    <t xml:space="preserve">full blackhead, badan full putih, tanpa tanduk</t>
  </si>
  <si>
    <t xml:space="preserve">270</t>
  </si>
  <si>
    <t xml:space="preserve">631</t>
  </si>
  <si>
    <t xml:space="preserve">full blackhead, badan full putih, sepatu hitam tanpa tanduk</t>
  </si>
  <si>
    <t xml:space="preserve">203</t>
  </si>
  <si>
    <t xml:space="preserve">full blackhead, tanpa tanduk, badan putih</t>
  </si>
  <si>
    <t xml:space="preserve">278</t>
  </si>
  <si>
    <t xml:space="preserve">280</t>
  </si>
  <si>
    <t xml:space="preserve">Full Blackhead, tanpa tanduk, badan full putih</t>
  </si>
  <si>
    <t xml:space="preserve">281</t>
  </si>
  <si>
    <t xml:space="preserve">Full Blackhead, tanpa tanduk, badan full putih. Corak putih sedikit di kepala atas.</t>
  </si>
  <si>
    <t xml:space="preserve">238</t>
  </si>
  <si>
    <t xml:space="preserve">209</t>
  </si>
  <si>
    <t xml:space="preserve">full blackhead, tanpa tanduk badan putih.</t>
  </si>
  <si>
    <t xml:space="preserve">286-AGENG-INDUK</t>
  </si>
  <si>
    <t xml:space="preserve">286</t>
  </si>
  <si>
    <t xml:space="preserve">black Head, corak putih di kepala atas, tanpa tanduk. Badan putih</t>
  </si>
  <si>
    <t xml:space="preserve">263</t>
  </si>
  <si>
    <t xml:space="preserve">254</t>
  </si>
  <si>
    <t xml:space="preserve">BlackHead, tanpa tanduk, badan putih</t>
  </si>
  <si>
    <t xml:space="preserve">33</t>
  </si>
  <si>
    <t xml:space="preserve">BlackHead Full, ada tanduk, ada corak putih di kepala atas putih antara tanduk</t>
  </si>
  <si>
    <t xml:space="preserve">87</t>
  </si>
  <si>
    <t xml:space="preserve">81</t>
  </si>
  <si>
    <t xml:space="preserve">Full blackhead tanpa tanduk sampai ke kaki</t>
  </si>
  <si>
    <t xml:space="preserve">75</t>
  </si>
  <si>
    <t xml:space="preserve">Full white tanpa tanduk</t>
  </si>
  <si>
    <t xml:space="preserve">141</t>
  </si>
  <si>
    <t xml:space="preserve">38</t>
  </si>
  <si>
    <t xml:space="preserve">blackhead kayak kacamata satu muka tanpa tanduk</t>
  </si>
  <si>
    <t xml:space="preserve">lokal</t>
  </si>
  <si>
    <t xml:space="preserve">catatan tangan</t>
  </si>
  <si>
    <t xml:space="preserve">TGL LAHIR (asumsi)</t>
  </si>
  <si>
    <t xml:space="preserve">015</t>
  </si>
  <si>
    <t xml:space="preserve">merino</t>
  </si>
  <si>
    <t xml:space="preserve">Cross Merino</t>
  </si>
  <si>
    <t xml:space="preserve">019</t>
  </si>
  <si>
    <t xml:space="preserve">023</t>
  </si>
  <si>
    <t xml:space="preserve">028</t>
  </si>
  <si>
    <t xml:space="preserve">0338</t>
  </si>
  <si>
    <t xml:space="preserve">04</t>
  </si>
  <si>
    <t xml:space="preserve">049</t>
  </si>
  <si>
    <t xml:space="preserve">056</t>
  </si>
  <si>
    <t xml:space="preserve">057</t>
  </si>
  <si>
    <t xml:space="preserve">064</t>
  </si>
  <si>
    <t xml:space="preserve">065</t>
  </si>
  <si>
    <t xml:space="preserve">069</t>
  </si>
  <si>
    <t xml:space="preserve">077</t>
  </si>
  <si>
    <t xml:space="preserve">079</t>
  </si>
  <si>
    <t xml:space="preserve">084</t>
  </si>
  <si>
    <t xml:space="preserve">099-SFI-INDUK</t>
  </si>
  <si>
    <t xml:space="preserve">099</t>
  </si>
  <si>
    <t xml:space="preserve">122</t>
  </si>
  <si>
    <t xml:space="preserve">167</t>
  </si>
  <si>
    <t xml:space="preserve">198</t>
  </si>
  <si>
    <t xml:space="preserve">231</t>
  </si>
  <si>
    <t xml:space="preserve">242</t>
  </si>
  <si>
    <t xml:space="preserve">teksel</t>
  </si>
  <si>
    <t xml:space="preserve">Cross Texel</t>
  </si>
  <si>
    <t xml:space="preserve">248</t>
  </si>
  <si>
    <t xml:space="preserve">257</t>
  </si>
  <si>
    <t xml:space="preserve">264</t>
  </si>
  <si>
    <t xml:space="preserve">266</t>
  </si>
  <si>
    <t xml:space="preserve">271</t>
  </si>
  <si>
    <t xml:space="preserve">273</t>
  </si>
  <si>
    <t xml:space="preserve">676</t>
  </si>
  <si>
    <t xml:space="preserve">900</t>
  </si>
  <si>
    <t xml:space="preserve">BELUM ADA NO-01</t>
  </si>
  <si>
    <t xml:space="preserve">catatan tangan (indukan tanpa ertek)</t>
  </si>
  <si>
    <t xml:space="preserve">NOMOR EARTAG, TGL LAHIR (asumsi)</t>
  </si>
  <si>
    <t xml:space="preserve">B06-SFI</t>
  </si>
  <si>
    <t xml:space="preserve">BELUM ADA NO-02</t>
  </si>
  <si>
    <t xml:space="preserve">B08-SFI</t>
  </si>
  <si>
    <t xml:space="preserve">BELUM ADA NO-03</t>
  </si>
  <si>
    <t xml:space="preserve">B11-SFI</t>
  </si>
  <si>
    <t xml:space="preserve">BELUM ADA NO-04</t>
  </si>
  <si>
    <t xml:space="preserve">NOMOR EARTAG, TGL LAHIR (asumsi), JENIS (asumsi)</t>
  </si>
  <si>
    <t xml:space="preserve">BELUM ADA NO-ANAK-01-SFI</t>
  </si>
  <si>
    <t xml:space="preserve">BELUM ADA NO-05</t>
  </si>
  <si>
    <t xml:space="preserve">B46-SFI, B47-SFI</t>
  </si>
  <si>
    <t xml:space="preserve">BELUM ADA NO-06</t>
  </si>
  <si>
    <t xml:space="preserve">FB</t>
  </si>
  <si>
    <t xml:space="preserve">FULLBLOOD DORPER</t>
  </si>
  <si>
    <t xml:space="preserve">099-SFI-ANAK</t>
  </si>
  <si>
    <t xml:space="preserve">DATABASE ANAKAN / CEMPE SFI</t>
  </si>
  <si>
    <t xml:space="preserve">NOMOR AKTIF</t>
  </si>
  <si>
    <t xml:space="preserve">TAG BARU</t>
  </si>
  <si>
    <t xml:space="preserve">KEMBAR</t>
  </si>
  <si>
    <t xml:space="preserve">IND NOMOR</t>
  </si>
  <si>
    <t xml:space="preserve">IND TAG FINAL</t>
  </si>
  <si>
    <t xml:space="preserve">IND JENIS</t>
  </si>
  <si>
    <t xml:space="preserve">KONDISI</t>
  </si>
  <si>
    <t xml:space="preserve">BB LAHIR</t>
  </si>
  <si>
    <t xml:space="preserve">BB ASUMSI?</t>
  </si>
  <si>
    <t xml:space="preserve">KALUNG</t>
  </si>
  <si>
    <t xml:space="preserve">STATUS TERNAK</t>
  </si>
  <si>
    <t xml:space="preserve">DI FILE MITRA</t>
  </si>
  <si>
    <t xml:space="preserve">KEYAKINAN</t>
  </si>
  <si>
    <t xml:space="preserve">CATATAN</t>
  </si>
  <si>
    <t xml:space="preserve">C05</t>
  </si>
  <si>
    <t xml:space="preserve">Hidup</t>
  </si>
  <si>
    <t xml:space="preserve">Tanpa Kalung</t>
  </si>
  <si>
    <t xml:space="preserve">Kandang Penggemukan 1 (Koloni)</t>
  </si>
  <si>
    <t xml:space="preserve">TIDAK</t>
  </si>
  <si>
    <t xml:space="preserve">sedang</t>
  </si>
  <si>
    <t xml:space="preserve">no cempe C.05; indukan F1 no 192 (tulisan samping 'NO 192')</t>
  </si>
  <si>
    <t xml:space="preserve">B03</t>
  </si>
  <si>
    <t xml:space="preserve">038</t>
  </si>
  <si>
    <t xml:space="preserve">Kandang Penggemukan 2 (Koloni)</t>
  </si>
  <si>
    <t xml:space="preserve">tinggi</t>
  </si>
  <si>
    <t xml:space="preserve">B04</t>
  </si>
  <si>
    <t xml:space="preserve">Jantan</t>
  </si>
  <si>
    <t xml:space="preserve">Kandang Penggemukan 3 (Koloni)</t>
  </si>
  <si>
    <t xml:space="preserve">B05</t>
  </si>
  <si>
    <t xml:space="preserve">Kandang Penggemukan 4 (Koloni)</t>
  </si>
  <si>
    <t xml:space="preserve">tertulis indukan 'teksel' no 900</t>
  </si>
  <si>
    <t xml:space="preserve">B06</t>
  </si>
  <si>
    <t xml:space="preserve">indukan lokal ertek - nomor tidak terbaca (ada catatan 'hila</t>
  </si>
  <si>
    <t xml:space="preserve">indukan lokal ertek - nomor tidak terbaca (ada catatan 'hilang')</t>
  </si>
  <si>
    <t xml:space="preserve">B07</t>
  </si>
  <si>
    <t xml:space="preserve">067</t>
  </si>
  <si>
    <t xml:space="preserve">YA</t>
  </si>
  <si>
    <t xml:space="preserve">indukan F1 no 0?? tercoret, kemungkinan 067</t>
  </si>
  <si>
    <t xml:space="preserve">B08</t>
  </si>
  <si>
    <t xml:space="preserve">indukan lokal, nomor tidak tertulis</t>
  </si>
  <si>
    <t xml:space="preserve">010</t>
  </si>
  <si>
    <t xml:space="preserve">NO 010 BB 4.00 - angka BB ada coretan</t>
  </si>
  <si>
    <t xml:space="preserve">09</t>
  </si>
  <si>
    <t xml:space="preserve">NO 09 BB 3.65 - angka BB ada coretan</t>
  </si>
  <si>
    <t xml:space="preserve">B11</t>
  </si>
  <si>
    <t xml:space="preserve">indukan lokal TANPA ERTEK; BB 3.90 ditulis di atas</t>
  </si>
  <si>
    <t xml:space="preserve">B12</t>
  </si>
  <si>
    <t xml:space="preserve">ertek no 0338 - digit terakhir ragu (033 atau 0338)</t>
  </si>
  <si>
    <t xml:space="preserve">B14</t>
  </si>
  <si>
    <t xml:space="preserve">lahir 2 ekor jantan bersama B13</t>
  </si>
  <si>
    <t xml:space="preserve">B13</t>
  </si>
  <si>
    <t xml:space="preserve">BB tertulis 4.05 (ragu 405)</t>
  </si>
  <si>
    <t xml:space="preserve">B15</t>
  </si>
  <si>
    <t xml:space="preserve">F3 DORPER</t>
  </si>
  <si>
    <t xml:space="preserve">B16</t>
  </si>
  <si>
    <t xml:space="preserve">081</t>
  </si>
  <si>
    <t xml:space="preserve">garut</t>
  </si>
  <si>
    <t xml:space="preserve">BB 4.40 (tertulis 4.40 atau 4.10)</t>
  </si>
  <si>
    <t xml:space="preserve">B17</t>
  </si>
  <si>
    <t xml:space="preserve">B18</t>
  </si>
  <si>
    <t xml:space="preserve">BB ditulis di atas coretan, terbaca 4.95</t>
  </si>
  <si>
    <t xml:space="preserve">B19</t>
  </si>
  <si>
    <t xml:space="preserve">082</t>
  </si>
  <si>
    <t xml:space="preserve">lahir 3 ekor jantan</t>
  </si>
  <si>
    <t xml:space="preserve">B20</t>
  </si>
  <si>
    <t xml:space="preserve">B21</t>
  </si>
  <si>
    <t xml:space="preserve">B22</t>
  </si>
  <si>
    <t xml:space="preserve">B23</t>
  </si>
  <si>
    <t xml:space="preserve">BELUM ADA NO-ANAK-01</t>
  </si>
  <si>
    <t xml:space="preserve">rendah</t>
  </si>
  <si>
    <t xml:space="preserve">NOMOR EARTAG</t>
  </si>
  <si>
    <t xml:space="preserve">lahir 1 jantan BB 3.45 - INDUKAN MENINGGAL; nomor anak tidak tertulis</t>
  </si>
  <si>
    <t xml:space="preserve">B24</t>
  </si>
  <si>
    <t xml:space="preserve">075</t>
  </si>
  <si>
    <t xml:space="preserve">lahir 3 jantan</t>
  </si>
  <si>
    <t xml:space="preserve">B25</t>
  </si>
  <si>
    <t xml:space="preserve">B26</t>
  </si>
  <si>
    <t xml:space="preserve">B27</t>
  </si>
  <si>
    <t xml:space="preserve">083</t>
  </si>
  <si>
    <t xml:space="preserve">BB terbaca 3.90 (ada coretan 3.?0)</t>
  </si>
  <si>
    <t xml:space="preserve">B28</t>
  </si>
  <si>
    <t xml:space="preserve">indukan lokal ertek no 0?4 - kemungkinan 084</t>
  </si>
  <si>
    <t xml:space="preserve">B29</t>
  </si>
  <si>
    <t xml:space="preserve">Pink</t>
  </si>
  <si>
    <t xml:space="preserve">lahir 2 ekor betina; milik VINA</t>
  </si>
  <si>
    <t xml:space="preserve">B30</t>
  </si>
  <si>
    <t xml:space="preserve">milik VINA</t>
  </si>
  <si>
    <t xml:space="preserve">B31</t>
  </si>
  <si>
    <t xml:space="preserve">036</t>
  </si>
  <si>
    <t xml:space="preserve">lahir 3 ekor; milik FAHRI</t>
  </si>
  <si>
    <t xml:space="preserve">B32</t>
  </si>
  <si>
    <t xml:space="preserve">milik FAHRI</t>
  </si>
  <si>
    <t xml:space="preserve">B33</t>
  </si>
  <si>
    <t xml:space="preserve">B34</t>
  </si>
  <si>
    <t xml:space="preserve">ertek indukan ada coretan, terbaca 083</t>
  </si>
  <si>
    <t xml:space="preserve">B35</t>
  </si>
  <si>
    <t xml:space="preserve">JENIS KELAMIN (asumsi)</t>
  </si>
  <si>
    <t xml:space="preserve">lahir 3 ekor kalung biru; JK tidak tertulis</t>
  </si>
  <si>
    <t xml:space="preserve">B36</t>
  </si>
  <si>
    <t xml:space="preserve">JK tidak tertulis</t>
  </si>
  <si>
    <t xml:space="preserve">B37</t>
  </si>
  <si>
    <t xml:space="preserve">B39</t>
  </si>
  <si>
    <t xml:space="preserve">KONFLIK: B39 dipakai 2x (26 Nov dan 27 Nov)</t>
  </si>
  <si>
    <t xml:space="preserve">B40</t>
  </si>
  <si>
    <t xml:space="preserve">KONFLIK: B40 dipakai 2x; indukan merino ertek 015</t>
  </si>
  <si>
    <t xml:space="preserve">B41</t>
  </si>
  <si>
    <t xml:space="preserve">033</t>
  </si>
  <si>
    <t xml:space="preserve">lahir 4 ekor mati 1</t>
  </si>
  <si>
    <t xml:space="preserve">B42</t>
  </si>
  <si>
    <t xml:space="preserve">B43</t>
  </si>
  <si>
    <t xml:space="preserve">Mati</t>
  </si>
  <si>
    <t xml:space="preserve">1 dari 4 mati - asumsi B43 (perlu konfirmasi)</t>
  </si>
  <si>
    <t xml:space="preserve">B44</t>
  </si>
  <si>
    <t xml:space="preserve">lahir 2 ekor betina</t>
  </si>
  <si>
    <t xml:space="preserve">B45</t>
  </si>
  <si>
    <t xml:space="preserve">B46</t>
  </si>
  <si>
    <t xml:space="preserve">no ertek indukan tercoret/tidak terbaca</t>
  </si>
  <si>
    <t xml:space="preserve">B47</t>
  </si>
  <si>
    <t xml:space="preserve">no ertek indukan tidak terbaca</t>
  </si>
  <si>
    <t xml:space="preserve">B48</t>
  </si>
  <si>
    <t xml:space="preserve">B49</t>
  </si>
  <si>
    <t xml:space="preserve">lahir 2 ekor jantan</t>
  </si>
  <si>
    <t xml:space="preserve">B50</t>
  </si>
  <si>
    <t xml:space="preserve">F01</t>
  </si>
  <si>
    <t xml:space="preserve">lahir 2 ekor jantan+betina</t>
  </si>
  <si>
    <t xml:space="preserve">F02</t>
  </si>
  <si>
    <t xml:space="preserve">F03</t>
  </si>
  <si>
    <t xml:space="preserve">F04</t>
  </si>
  <si>
    <t xml:space="preserve">F05</t>
  </si>
  <si>
    <t xml:space="preserve">BELUM ADA NO-ANAK-02</t>
  </si>
  <si>
    <t xml:space="preserve">NOMOR EARTAG, BB (asumsi)</t>
  </si>
  <si>
    <t xml:space="preserve">lahir 1 betina - nomor anak TIDAK tertulis</t>
  </si>
  <si>
    <t xml:space="preserve">BELUM ADA NO-ANAK-03</t>
  </si>
  <si>
    <t xml:space="preserve">nomor anak tidak tertulis; ertek indukan '04?' terpotong</t>
  </si>
  <si>
    <t xml:space="preserve">BELUM ADA NO-ANAK-04</t>
  </si>
  <si>
    <t xml:space="preserve">nomor anak tidak tertulis</t>
  </si>
  <si>
    <t xml:space="preserve">BELUM ADA NO-ANAK-05</t>
  </si>
  <si>
    <t xml:space="preserve">269</t>
  </si>
  <si>
    <t xml:space="preserve">087</t>
  </si>
  <si>
    <t xml:space="preserve">BB (asumsi)</t>
  </si>
  <si>
    <t xml:space="preserve">ertek anak no 269; BB tidak tertulis; milik VINA (289?)</t>
  </si>
  <si>
    <t xml:space="preserve">399</t>
  </si>
  <si>
    <t xml:space="preserve">F06</t>
  </si>
  <si>
    <t xml:space="preserve">lahir 2 ekor betina; BB tidak tertulis; milik FAHRI</t>
  </si>
  <si>
    <t xml:space="preserve">397</t>
  </si>
  <si>
    <t xml:space="preserve">F07</t>
  </si>
  <si>
    <t xml:space="preserve">BB tidak tertulis; milik FAHRI</t>
  </si>
  <si>
    <t xml:space="preserve">217</t>
  </si>
  <si>
    <t xml:space="preserve">F08</t>
  </si>
  <si>
    <t xml:space="preserve">BB tidak tertulis; indukan ada coretan F2/lokal</t>
  </si>
  <si>
    <t xml:space="preserve">F09</t>
  </si>
  <si>
    <t xml:space="preserve">BB tidak tertulis; indukan FB tanpa nomor</t>
  </si>
  <si>
    <t xml:space="preserve">229</t>
  </si>
  <si>
    <t xml:space="preserve">F10</t>
  </si>
  <si>
    <t xml:space="preserve">lahir 2 ekor jantan; BB tidak tertulis; ertek 242 (ragu)</t>
  </si>
  <si>
    <t xml:space="preserve">233</t>
  </si>
  <si>
    <t xml:space="preserve">F11</t>
  </si>
  <si>
    <t xml:space="preserve">BB tidak tertulis</t>
  </si>
  <si>
    <t xml:space="preserve">406</t>
  </si>
  <si>
    <t xml:space="preserve">F12</t>
  </si>
  <si>
    <t xml:space="preserve">lahir 2 ekor betina+jantan; milik LETA</t>
  </si>
  <si>
    <t xml:space="preserve">478</t>
  </si>
  <si>
    <t xml:space="preserve">F13</t>
  </si>
  <si>
    <t xml:space="preserve">BB tertulis 305 = 3.05; milik LETA</t>
  </si>
  <si>
    <t xml:space="preserve">497</t>
  </si>
  <si>
    <t xml:space="preserve">F14</t>
  </si>
  <si>
    <t xml:space="preserve">BB TIDAK tertulis; milik LETA</t>
  </si>
  <si>
    <t xml:space="preserve">498</t>
  </si>
  <si>
    <t xml:space="preserve">F15</t>
  </si>
  <si>
    <t xml:space="preserve">lahir 2 ekor jantan; milik AGENG</t>
  </si>
  <si>
    <t xml:space="preserve">500</t>
  </si>
  <si>
    <t xml:space="preserve">F16</t>
  </si>
  <si>
    <t xml:space="preserve">milik AGENG</t>
  </si>
  <si>
    <t xml:space="preserve">489</t>
  </si>
  <si>
    <t xml:space="preserve">F17</t>
  </si>
  <si>
    <t xml:space="preserve">lahir 2 ekor betina; milik LETA</t>
  </si>
  <si>
    <t xml:space="preserve">409</t>
  </si>
  <si>
    <t xml:space="preserve">F18</t>
  </si>
  <si>
    <t xml:space="preserve">milik LETA</t>
  </si>
  <si>
    <t xml:space="preserve">212</t>
  </si>
  <si>
    <t xml:space="preserve">F19</t>
  </si>
  <si>
    <t xml:space="preserve">catatan (212) = nomor baru sesuai file mapping</t>
  </si>
  <si>
    <t xml:space="preserve">F20</t>
  </si>
  <si>
    <t xml:space="preserve">302</t>
  </si>
  <si>
    <t xml:space="preserve">F21</t>
  </si>
  <si>
    <t xml:space="preserve">216</t>
  </si>
  <si>
    <t xml:space="preserve">F22</t>
  </si>
  <si>
    <t xml:space="preserve">484</t>
  </si>
  <si>
    <t xml:space="preserve">F24</t>
  </si>
  <si>
    <t xml:space="preserve">286-SFI-ANAK</t>
  </si>
  <si>
    <t xml:space="preserve">A51</t>
  </si>
  <si>
    <t xml:space="preserve">215</t>
  </si>
  <si>
    <t xml:space="preserve">A52</t>
  </si>
  <si>
    <t xml:space="preserve">F25</t>
  </si>
  <si>
    <t xml:space="preserve">388</t>
  </si>
  <si>
    <t xml:space="preserve">A53</t>
  </si>
  <si>
    <t xml:space="preserve">495</t>
  </si>
  <si>
    <t xml:space="preserve">A55</t>
  </si>
  <si>
    <t xml:space="preserve">208</t>
  </si>
  <si>
    <t xml:space="preserve">A56</t>
  </si>
  <si>
    <t xml:space="preserve">lahir 3 ekor: 2 betina 1 jantan</t>
  </si>
  <si>
    <t xml:space="preserve">220</t>
  </si>
  <si>
    <t xml:space="preserve">A57</t>
  </si>
  <si>
    <t xml:space="preserve">239</t>
  </si>
  <si>
    <t xml:space="preserve">A58</t>
  </si>
  <si>
    <t xml:space="preserve">228</t>
  </si>
  <si>
    <t xml:space="preserve">A73</t>
  </si>
  <si>
    <t xml:space="preserve">jantan jumbo</t>
  </si>
  <si>
    <t xml:space="preserve">496</t>
  </si>
  <si>
    <t xml:space="preserve">A74</t>
  </si>
  <si>
    <t xml:space="preserve">Coklat</t>
  </si>
  <si>
    <t xml:space="preserve">236</t>
  </si>
  <si>
    <t xml:space="preserve">A80</t>
  </si>
  <si>
    <t xml:space="preserve">KONFLIK BB: img2 tulis 2.50, img13 ada koreksi jadi 6.50; in</t>
  </si>
  <si>
    <t xml:space="preserve">KONFLIK BB: img2 tulis 2.50, img13 ada koreksi jadi 6.50; indukan 'hilang' di img2 vs no 061 di img13</t>
  </si>
  <si>
    <t xml:space="preserve">224</t>
  </si>
  <si>
    <t xml:space="preserve">A81</t>
  </si>
  <si>
    <t xml:space="preserve">KONFLIK BB: img2 tulis 2.75, img13 koreksi 4.40</t>
  </si>
  <si>
    <t xml:space="preserve">295</t>
  </si>
  <si>
    <t xml:space="preserve">A75</t>
  </si>
  <si>
    <t xml:space="preserve">214</t>
  </si>
  <si>
    <t xml:space="preserve">A76</t>
  </si>
  <si>
    <t xml:space="preserve">KONFLIK BB: ada coretan, terbaca 2.50 lalu 4.40</t>
  </si>
  <si>
    <t xml:space="preserve">210</t>
  </si>
  <si>
    <t xml:space="preserve">A77</t>
  </si>
  <si>
    <t xml:space="preserve">KONFLIK BB: ada coretan, terbaca 2.75 lalu 6.50</t>
  </si>
  <si>
    <t xml:space="preserve">306</t>
  </si>
  <si>
    <t xml:space="preserve">A78</t>
  </si>
  <si>
    <t xml:space="preserve">309</t>
  </si>
  <si>
    <t xml:space="preserve">A79</t>
  </si>
  <si>
    <t xml:space="preserve">285</t>
  </si>
  <si>
    <t xml:space="preserve">A82</t>
  </si>
  <si>
    <t xml:space="preserve">lahir 2 ekor</t>
  </si>
  <si>
    <t xml:space="preserve">294</t>
  </si>
  <si>
    <t xml:space="preserve">A83</t>
  </si>
  <si>
    <t xml:space="preserve">213-SFI-ANAK</t>
  </si>
  <si>
    <t xml:space="preserve">A84</t>
  </si>
  <si>
    <t xml:space="preserve">292-SFI-ANAK</t>
  </si>
  <si>
    <t xml:space="preserve">A85</t>
  </si>
  <si>
    <t xml:space="preserve">486</t>
  </si>
  <si>
    <t xml:space="preserve">A86</t>
  </si>
  <si>
    <t xml:space="preserve">479</t>
  </si>
  <si>
    <t xml:space="preserve">A87</t>
  </si>
  <si>
    <t xml:space="preserve">nomor anak ada coretan, terbaca A87</t>
  </si>
  <si>
    <t xml:space="preserve">219</t>
  </si>
  <si>
    <t xml:space="preserve">A88</t>
  </si>
  <si>
    <t xml:space="preserve">411</t>
  </si>
  <si>
    <t xml:space="preserve">A91</t>
  </si>
  <si>
    <t xml:space="preserve">HISTORI PENGGANTIAN EARTAG</t>
  </si>
  <si>
    <t xml:space="preserve">Nomor AWAL = nomor LAMA. Satu ekor bisa punya beberapa nomor - jangan dihitung dua kali.</t>
  </si>
  <si>
    <t xml:space="preserve">RANTAI</t>
  </si>
  <si>
    <t xml:space="preserve">JENIS INDUKAN</t>
  </si>
  <si>
    <t xml:space="preserve">GENERASI ANAK</t>
  </si>
  <si>
    <t xml:space="preserve">212-SFI</t>
  </si>
  <si>
    <t xml:space="preserve">indukan lokal</t>
  </si>
  <si>
    <t xml:space="preserve">478-LETA</t>
  </si>
  <si>
    <t xml:space="preserve">397-FAHRI</t>
  </si>
  <si>
    <t xml:space="preserve">233-SFI</t>
  </si>
  <si>
    <t xml:space="preserve">Teksel</t>
  </si>
  <si>
    <t xml:space="preserve">399-FAHRI</t>
  </si>
  <si>
    <t xml:space="preserve">229-SFI</t>
  </si>
  <si>
    <t xml:space="preserve">302-VINA</t>
  </si>
  <si>
    <t xml:space="preserve">F23</t>
  </si>
  <si>
    <t xml:space="preserve">485</t>
  </si>
  <si>
    <t xml:space="preserve">240-SFI</t>
  </si>
  <si>
    <t xml:space="preserve">497-LETA</t>
  </si>
  <si>
    <t xml:space="preserve">216-SFI</t>
  </si>
  <si>
    <t xml:space="preserve">228-SFI</t>
  </si>
  <si>
    <t xml:space="preserve">239-VINA</t>
  </si>
  <si>
    <t xml:space="preserve">garut lokal</t>
  </si>
  <si>
    <t xml:space="preserve">A54</t>
  </si>
  <si>
    <t xml:space="preserve">425</t>
  </si>
  <si>
    <t xml:space="preserve">495-AGENG</t>
  </si>
  <si>
    <t xml:space="preserve">406-LETA</t>
  </si>
  <si>
    <t xml:space="preserve">496-OKI</t>
  </si>
  <si>
    <t xml:space="preserve">angka dalam kurung bisa 496 atau 896</t>
  </si>
  <si>
    <t xml:space="preserve">489-LETA</t>
  </si>
  <si>
    <t xml:space="preserve">498-AGENG</t>
  </si>
  <si>
    <t xml:space="preserve">220-VINA</t>
  </si>
  <si>
    <t xml:space="preserve">217-SFI</t>
  </si>
  <si>
    <t xml:space="preserve">484-AGENG</t>
  </si>
  <si>
    <t xml:space="preserve">500-AGENG</t>
  </si>
  <si>
    <t xml:space="preserve">208-VINA</t>
  </si>
  <si>
    <t xml:space="preserve">409-LETA</t>
  </si>
  <si>
    <t xml:space="preserve">baris kedua tertulis (098) yg beli - perlu konfirmasi</t>
  </si>
  <si>
    <t xml:space="preserve">219-SFI</t>
  </si>
  <si>
    <t xml:space="preserve">224-SFI</t>
  </si>
  <si>
    <t xml:space="preserve">285-SFI</t>
  </si>
  <si>
    <t xml:space="preserve">214-SFI</t>
  </si>
  <si>
    <t xml:space="preserve">A90</t>
  </si>
  <si>
    <t xml:space="preserve">293</t>
  </si>
  <si>
    <t xml:space="preserve">A89</t>
  </si>
  <si>
    <t xml:space="preserve">479-OKI</t>
  </si>
  <si>
    <t xml:space="preserve">309-SFI</t>
  </si>
  <si>
    <t xml:space="preserve">295-SFI</t>
  </si>
  <si>
    <t xml:space="preserve">388-SFI</t>
  </si>
  <si>
    <t xml:space="preserve">210-SFI</t>
  </si>
  <si>
    <t xml:space="preserve">294-SFI</t>
  </si>
  <si>
    <t xml:space="preserve">215-SFI</t>
  </si>
  <si>
    <t xml:space="preserve">F1 lokal</t>
  </si>
  <si>
    <t xml:space="preserve">tertulis 'F1 lokal' - ambigu</t>
  </si>
  <si>
    <t xml:space="preserve">236-SFI</t>
  </si>
  <si>
    <t xml:space="preserve">411-LETA</t>
  </si>
  <si>
    <t xml:space="preserve">306-SFI</t>
  </si>
  <si>
    <t xml:space="preserve">486-AGENG</t>
  </si>
  <si>
    <t xml:space="preserve">STRUKTUR FOLDER GOOGLE DRIVE - TERNAK MILIK SFI</t>
  </si>
  <si>
    <t xml:space="preserve">Jalankan file BUAT_FOLDER_GDRIVE.gs di script.google.com untuk membuat 96 folder ini otomatis, lalu tempel link hasilnya di kolom LINK.</t>
  </si>
  <si>
    <t xml:space="preserve">LEVEL</t>
  </si>
  <si>
    <t xml:space="preserve">NAMA FOLDER</t>
  </si>
  <si>
    <t xml:space="preserve">PATH LENGKAP</t>
  </si>
  <si>
    <t xml:space="preserve">KETERANGAN</t>
  </si>
  <si>
    <t xml:space="preserve">LINK GDRIVE (tempel di sini)</t>
  </si>
  <si>
    <t xml:space="preserve">SFI - DOKUMENTASI TERNAK</t>
  </si>
  <si>
    <t xml:space="preserve">Folder induk (root)</t>
  </si>
  <si>
    <t xml:space="preserve">    01 INDUKAN SFI</t>
  </si>
  <si>
    <t xml:space="preserve">SFI - DOKUMENTASI TERNAK/01 INDUKAN SFI</t>
  </si>
  <si>
    <t xml:space="preserve">Semua indukan milik SFI</t>
  </si>
  <si>
    <t xml:space="preserve">        011-SFI</t>
  </si>
  <si>
    <t xml:space="preserve">SFI - DOKUMENTASI TERNAK/01 INDUKAN SFI/011-SFI</t>
  </si>
  <si>
    <t xml:space="preserve">Indukan lokal - eartag Hijau</t>
  </si>
  <si>
    <t xml:space="preserve">        015-SFI</t>
  </si>
  <si>
    <t xml:space="preserve">SFI - DOKUMENTASI TERNAK/01 INDUKAN SFI/015-SFI</t>
  </si>
  <si>
    <t xml:space="preserve">Indukan merino - eartag Hijau</t>
  </si>
  <si>
    <t xml:space="preserve">        019-SFI</t>
  </si>
  <si>
    <t xml:space="preserve">SFI - DOKUMENTASI TERNAK/01 INDUKAN SFI/019-SFI</t>
  </si>
  <si>
    <t xml:space="preserve">        023-SFI</t>
  </si>
  <si>
    <t xml:space="preserve">SFI - DOKUMENTASI TERNAK/01 INDUKAN SFI/023-SFI</t>
  </si>
  <si>
    <t xml:space="preserve">        028-SFI</t>
  </si>
  <si>
    <t xml:space="preserve">SFI - DOKUMENTASI TERNAK/01 INDUKAN SFI/028-SFI</t>
  </si>
  <si>
    <t xml:space="preserve">        0338-SFI</t>
  </si>
  <si>
    <t xml:space="preserve">SFI - DOKUMENTASI TERNAK/01 INDUKAN SFI/0338-SFI</t>
  </si>
  <si>
    <t xml:space="preserve">        04-SFI</t>
  </si>
  <si>
    <t xml:space="preserve">SFI - DOKUMENTASI TERNAK/01 INDUKAN SFI/04-SFI</t>
  </si>
  <si>
    <t xml:space="preserve">        042-SFI</t>
  </si>
  <si>
    <t xml:space="preserve">SFI - DOKUMENTASI TERNAK/01 INDUKAN SFI/042-SFI</t>
  </si>
  <si>
    <t xml:space="preserve">Indukan F1 - eartag Kuning</t>
  </si>
  <si>
    <t xml:space="preserve">        046-SFI</t>
  </si>
  <si>
    <t xml:space="preserve">SFI - DOKUMENTASI TERNAK/01 INDUKAN SFI/046-SFI</t>
  </si>
  <si>
    <t xml:space="preserve">        049-SFI</t>
  </si>
  <si>
    <t xml:space="preserve">SFI - DOKUMENTASI TERNAK/01 INDUKAN SFI/049-SFI</t>
  </si>
  <si>
    <t xml:space="preserve">        056-SFI</t>
  </si>
  <si>
    <t xml:space="preserve">SFI - DOKUMENTASI TERNAK/01 INDUKAN SFI/056-SFI</t>
  </si>
  <si>
    <t xml:space="preserve">        057-SFI</t>
  </si>
  <si>
    <t xml:space="preserve">SFI - DOKUMENTASI TERNAK/01 INDUKAN SFI/057-SFI</t>
  </si>
  <si>
    <t xml:space="preserve">        061-SFI</t>
  </si>
  <si>
    <t xml:space="preserve">SFI - DOKUMENTASI TERNAK/01 INDUKAN SFI/061-SFI</t>
  </si>
  <si>
    <t xml:space="preserve">        064-SFI</t>
  </si>
  <si>
    <t xml:space="preserve">SFI - DOKUMENTASI TERNAK/01 INDUKAN SFI/064-SFI</t>
  </si>
  <si>
    <t xml:space="preserve">        065-SFI</t>
  </si>
  <si>
    <t xml:space="preserve">SFI - DOKUMENTASI TERNAK/01 INDUKAN SFI/065-SFI</t>
  </si>
  <si>
    <t xml:space="preserve">        069-SFI</t>
  </si>
  <si>
    <t xml:space="preserve">SFI - DOKUMENTASI TERNAK/01 INDUKAN SFI/069-SFI</t>
  </si>
  <si>
    <t xml:space="preserve">        077-SFI</t>
  </si>
  <si>
    <t xml:space="preserve">SFI - DOKUMENTASI TERNAK/01 INDUKAN SFI/077-SFI</t>
  </si>
  <si>
    <t xml:space="preserve">        079-SFI</t>
  </si>
  <si>
    <t xml:space="preserve">SFI - DOKUMENTASI TERNAK/01 INDUKAN SFI/079-SFI</t>
  </si>
  <si>
    <t xml:space="preserve">        084-SFI</t>
  </si>
  <si>
    <t xml:space="preserve">SFI - DOKUMENTASI TERNAK/01 INDUKAN SFI/084-SFI</t>
  </si>
  <si>
    <t xml:space="preserve">        099-SFI-INDUK</t>
  </si>
  <si>
    <t xml:space="preserve">SFI - DOKUMENTASI TERNAK/01 INDUKAN SFI/099-SFI-INDUK</t>
  </si>
  <si>
    <t xml:space="preserve">        122-SFI</t>
  </si>
  <si>
    <t xml:space="preserve">SFI - DOKUMENTASI TERNAK/01 INDUKAN SFI/122-SFI</t>
  </si>
  <si>
    <t xml:space="preserve">        167-SFI</t>
  </si>
  <si>
    <t xml:space="preserve">SFI - DOKUMENTASI TERNAK/01 INDUKAN SFI/167-SFI</t>
  </si>
  <si>
    <t xml:space="preserve">        198-SFI</t>
  </si>
  <si>
    <t xml:space="preserve">SFI - DOKUMENTASI TERNAK/01 INDUKAN SFI/198-SFI</t>
  </si>
  <si>
    <t xml:space="preserve">        231-SFI</t>
  </si>
  <si>
    <t xml:space="preserve">SFI - DOKUMENTASI TERNAK/01 INDUKAN SFI/231-SFI</t>
  </si>
  <si>
    <t xml:space="preserve">Indukan F2 - eartag Orange</t>
  </si>
  <si>
    <t xml:space="preserve">        242-SFI</t>
  </si>
  <si>
    <t xml:space="preserve">SFI - DOKUMENTASI TERNAK/01 INDUKAN SFI/242-SFI</t>
  </si>
  <si>
    <t xml:space="preserve">Indukan teksel - eartag Hijau</t>
  </si>
  <si>
    <t xml:space="preserve">        248-SFI</t>
  </si>
  <si>
    <t xml:space="preserve">SFI - DOKUMENTASI TERNAK/01 INDUKAN SFI/248-SFI</t>
  </si>
  <si>
    <t xml:space="preserve">        257-SFI</t>
  </si>
  <si>
    <t xml:space="preserve">SFI - DOKUMENTASI TERNAK/01 INDUKAN SFI/257-SFI</t>
  </si>
  <si>
    <t xml:space="preserve">        264-SFI</t>
  </si>
  <si>
    <t xml:space="preserve">SFI - DOKUMENTASI TERNAK/01 INDUKAN SFI/264-SFI</t>
  </si>
  <si>
    <t xml:space="preserve">        266-SFI</t>
  </si>
  <si>
    <t xml:space="preserve">SFI - DOKUMENTASI TERNAK/01 INDUKAN SFI/266-SFI</t>
  </si>
  <si>
    <t xml:space="preserve">        271-SFI</t>
  </si>
  <si>
    <t xml:space="preserve">SFI - DOKUMENTASI TERNAK/01 INDUKAN SFI/271-SFI</t>
  </si>
  <si>
    <t xml:space="preserve">        273-SFI</t>
  </si>
  <si>
    <t xml:space="preserve">SFI - DOKUMENTASI TERNAK/01 INDUKAN SFI/273-SFI</t>
  </si>
  <si>
    <t xml:space="preserve">        676-SFI</t>
  </si>
  <si>
    <t xml:space="preserve">SFI - DOKUMENTASI TERNAK/01 INDUKAN SFI/676-SFI</t>
  </si>
  <si>
    <t xml:space="preserve">        900-SFI</t>
  </si>
  <si>
    <t xml:space="preserve">SFI - DOKUMENTASI TERNAK/01 INDUKAN SFI/900-SFI</t>
  </si>
  <si>
    <t xml:space="preserve">    02 ANAKAN SFI</t>
  </si>
  <si>
    <t xml:space="preserve">SFI - DOKUMENTASI TERNAK/02 ANAKAN SFI</t>
  </si>
  <si>
    <t xml:space="preserve">Semua anakan milik SFI</t>
  </si>
  <si>
    <t xml:space="preserve">        2025-09</t>
  </si>
  <si>
    <t xml:space="preserve">SFI - DOKUMENTASI TERNAK/02 ANAKAN SFI/2025-09</t>
  </si>
  <si>
    <t xml:space="preserve">Kelahiran 2025-09 (4 ekor)</t>
  </si>
  <si>
    <t xml:space="preserve">            B04-SFI</t>
  </si>
  <si>
    <t xml:space="preserve">SFI - DOKUMENTASI TERNAK/02 ANAKAN SFI/2025-09/B04-SFI</t>
  </si>
  <si>
    <t xml:space="preserve">Lahir 2025-09-15 - Jantan - indukan 065</t>
  </si>
  <si>
    <t xml:space="preserve">            B05-SFI</t>
  </si>
  <si>
    <t xml:space="preserve">SFI - DOKUMENTASI TERNAK/02 ANAKAN SFI/2025-09/B05-SFI</t>
  </si>
  <si>
    <t xml:space="preserve">Lahir 2025-09-22 - Jantan - indukan 900</t>
  </si>
  <si>
    <t xml:space="preserve">            B06-SFI</t>
  </si>
  <si>
    <t xml:space="preserve">SFI - DOKUMENTASI TERNAK/02 ANAKAN SFI/2025-09/B06-SFI</t>
  </si>
  <si>
    <t xml:space="preserve">Lahir 2025-09-24 - Betina - indukan </t>
  </si>
  <si>
    <t xml:space="preserve">            B08-SFI</t>
  </si>
  <si>
    <t xml:space="preserve">SFI - DOKUMENTASI TERNAK/02 ANAKAN SFI/2025-09/B08-SFI</t>
  </si>
  <si>
    <t xml:space="preserve">Lahir 2025-09-29 - Betina - indukan </t>
  </si>
  <si>
    <t xml:space="preserve">        2025-10</t>
  </si>
  <si>
    <t xml:space="preserve">SFI - DOKUMENTASI TERNAK/02 ANAKAN SFI/2025-10</t>
  </si>
  <si>
    <t xml:space="preserve">Kelahiran 2025-10 (8 ekor)</t>
  </si>
  <si>
    <t xml:space="preserve">            010-SFI</t>
  </si>
  <si>
    <t xml:space="preserve">SFI - DOKUMENTASI TERNAK/02 ANAKAN SFI/2025-10/010-SFI</t>
  </si>
  <si>
    <t xml:space="preserve">Lahir 2025-10-07 - Betina - indukan 046</t>
  </si>
  <si>
    <t xml:space="preserve">            09-SFI</t>
  </si>
  <si>
    <t xml:space="preserve">SFI - DOKUMENTASI TERNAK/02 ANAKAN SFI/2025-10/09-SFI</t>
  </si>
  <si>
    <t xml:space="preserve">Lahir 2025-10-07 - Jantan - indukan 046</t>
  </si>
  <si>
    <t xml:space="preserve">            B11-SFI</t>
  </si>
  <si>
    <t xml:space="preserve">SFI - DOKUMENTASI TERNAK/02 ANAKAN SFI/2025-10/B11-SFI</t>
  </si>
  <si>
    <t xml:space="preserve">Lahir 2025-10-12 - Betina - indukan </t>
  </si>
  <si>
    <t xml:space="preserve">            B12-SFI</t>
  </si>
  <si>
    <t xml:space="preserve">SFI - DOKUMENTASI TERNAK/02 ANAKAN SFI/2025-10/B12-SFI</t>
  </si>
  <si>
    <t xml:space="preserve">Lahir 2025-10-17 - Betina - indukan 0338</t>
  </si>
  <si>
    <t xml:space="preserve">            B13-SFI</t>
  </si>
  <si>
    <t xml:space="preserve">SFI - DOKUMENTASI TERNAK/02 ANAKAN SFI/2025-10/B13-SFI</t>
  </si>
  <si>
    <t xml:space="preserve">Lahir 2025-10-17 - Jantan - indukan 061</t>
  </si>
  <si>
    <t xml:space="preserve">            B14-SFI</t>
  </si>
  <si>
    <t xml:space="preserve">SFI - DOKUMENTASI TERNAK/02 ANAKAN SFI/2025-10/B14-SFI</t>
  </si>
  <si>
    <t xml:space="preserve">            B15-SFI</t>
  </si>
  <si>
    <t xml:space="preserve">SFI - DOKUMENTASI TERNAK/02 ANAKAN SFI/2025-10/B15-SFI</t>
  </si>
  <si>
    <t xml:space="preserve">Lahir 2025-10-24 - Betina - indukan 231</t>
  </si>
  <si>
    <t xml:space="preserve">            B18-SFI</t>
  </si>
  <si>
    <t xml:space="preserve">SFI - DOKUMENTASI TERNAK/02 ANAKAN SFI/2025-10/B18-SFI</t>
  </si>
  <si>
    <t xml:space="preserve">Lahir 2025-10-30 - Betina - indukan 011</t>
  </si>
  <si>
    <t xml:space="preserve">        2025-11</t>
  </si>
  <si>
    <t xml:space="preserve">SFI - DOKUMENTASI TERNAK/02 ANAKAN SFI/2025-11</t>
  </si>
  <si>
    <t xml:space="preserve">Kelahiran 2025-11 (7 ekor)</t>
  </si>
  <si>
    <t xml:space="preserve">            B22-SFI</t>
  </si>
  <si>
    <t xml:space="preserve">SFI - DOKUMENTASI TERNAK/02 ANAKAN SFI/2025-11/B22-SFI</t>
  </si>
  <si>
    <t xml:space="preserve">Lahir 2025-11-08 - Jantan - indukan 019</t>
  </si>
  <si>
    <t xml:space="preserve">            B23-SFI</t>
  </si>
  <si>
    <t xml:space="preserve">SFI - DOKUMENTASI TERNAK/02 ANAKAN SFI/2025-11/B23-SFI</t>
  </si>
  <si>
    <t xml:space="preserve">Lahir 2025-11-10 - Jantan - indukan 099</t>
  </si>
  <si>
    <t xml:space="preserve">            B28-SFI</t>
  </si>
  <si>
    <t xml:space="preserve">SFI - DOKUMENTASI TERNAK/02 ANAKAN SFI/2025-11/B28-SFI</t>
  </si>
  <si>
    <t xml:space="preserve">Lahir 2025-11-18 - Betina - indukan 084</t>
  </si>
  <si>
    <t xml:space="preserve">            B35-SFI</t>
  </si>
  <si>
    <t xml:space="preserve">SFI - DOKUMENTASI TERNAK/02 ANAKAN SFI/2025-11/B35-SFI</t>
  </si>
  <si>
    <t xml:space="preserve">Lahir 2025-11-25 - JK? - indukan 042</t>
  </si>
  <si>
    <t xml:space="preserve">            B36-SFI</t>
  </si>
  <si>
    <t xml:space="preserve">SFI - DOKUMENTASI TERNAK/02 ANAKAN SFI/2025-11/B36-SFI</t>
  </si>
  <si>
    <t xml:space="preserve">            B37-SFI</t>
  </si>
  <si>
    <t xml:space="preserve">SFI - DOKUMENTASI TERNAK/02 ANAKAN SFI/2025-11/B37-SFI</t>
  </si>
  <si>
    <t xml:space="preserve">            B40-SFI</t>
  </si>
  <si>
    <t xml:space="preserve">SFI - DOKUMENTASI TERNAK/02 ANAKAN SFI/2025-11/B40-SFI</t>
  </si>
  <si>
    <t xml:space="preserve">Lahir 2025-11-28 - Jantan - indukan 015</t>
  </si>
  <si>
    <t xml:space="preserve">        2025-12</t>
  </si>
  <si>
    <t xml:space="preserve">SFI - DOKUMENTASI TERNAK/02 ANAKAN SFI/2025-12</t>
  </si>
  <si>
    <t xml:space="preserve">Kelahiran 2025-12 (11 ekor)</t>
  </si>
  <si>
    <t xml:space="preserve">            B44-SFI</t>
  </si>
  <si>
    <t xml:space="preserve">SFI - DOKUMENTASI TERNAK/02 ANAKAN SFI/2025-12/B44-SFI</t>
  </si>
  <si>
    <t xml:space="preserve">Lahir 2025-12-03 - Betina - indukan 069</t>
  </si>
  <si>
    <t xml:space="preserve">            B45-SFI</t>
  </si>
  <si>
    <t xml:space="preserve">SFI - DOKUMENTASI TERNAK/02 ANAKAN SFI/2025-12/B45-SFI</t>
  </si>
  <si>
    <t xml:space="preserve">            B46-SFI</t>
  </si>
  <si>
    <t xml:space="preserve">SFI - DOKUMENTASI TERNAK/02 ANAKAN SFI/2025-12/B46-SFI</t>
  </si>
  <si>
    <t xml:space="preserve">Lahir 2025-12-08 - Betina - indukan </t>
  </si>
  <si>
    <t xml:space="preserve">            B47-SFI</t>
  </si>
  <si>
    <t xml:space="preserve">SFI - DOKUMENTASI TERNAK/02 ANAKAN SFI/2025-12/B47-SFI</t>
  </si>
  <si>
    <t xml:space="preserve">            B49-SFI</t>
  </si>
  <si>
    <t xml:space="preserve">SFI - DOKUMENTASI TERNAK/02 ANAKAN SFI/2025-12/B49-SFI</t>
  </si>
  <si>
    <t xml:space="preserve">Lahir 2025-12-19 - Jantan - indukan 079</t>
  </si>
  <si>
    <t xml:space="preserve">            B50-SFI</t>
  </si>
  <si>
    <t xml:space="preserve">SFI - DOKUMENTASI TERNAK/02 ANAKAN SFI/2025-12/B50-SFI</t>
  </si>
  <si>
    <t xml:space="preserve">            F01-SFI</t>
  </si>
  <si>
    <t xml:space="preserve">SFI - DOKUMENTASI TERNAK/02 ANAKAN SFI/2025-12/F01-SFI</t>
  </si>
  <si>
    <t xml:space="preserve">Lahir 2025-12-21 - Jantan - indukan 023</t>
  </si>
  <si>
    <t xml:space="preserve">            F02-SFI</t>
  </si>
  <si>
    <t xml:space="preserve">SFI - DOKUMENTASI TERNAK/02 ANAKAN SFI/2025-12/F02-SFI</t>
  </si>
  <si>
    <t xml:space="preserve">Lahir 2025-12-21 - Betina - indukan 023</t>
  </si>
  <si>
    <t xml:space="preserve">            F03-SFI</t>
  </si>
  <si>
    <t xml:space="preserve">SFI - DOKUMENTASI TERNAK/02 ANAKAN SFI/2025-12/F03-SFI</t>
  </si>
  <si>
    <t xml:space="preserve">Lahir 2025-12-22 - Betina - indukan 028</t>
  </si>
  <si>
    <t xml:space="preserve">            F04-SFI</t>
  </si>
  <si>
    <t xml:space="preserve">SFI - DOKUMENTASI TERNAK/02 ANAKAN SFI/2025-12/F04-SFI</t>
  </si>
  <si>
    <t xml:space="preserve">            F05-SFI</t>
  </si>
  <si>
    <t xml:space="preserve">SFI - DOKUMENTASI TERNAK/02 ANAKAN SFI/2025-12/F05-SFI</t>
  </si>
  <si>
    <t xml:space="preserve">Lahir 2025-12-24 - Jantan - indukan 056</t>
  </si>
  <si>
    <t xml:space="preserve">        2026-04</t>
  </si>
  <si>
    <t xml:space="preserve">SFI - DOKUMENTASI TERNAK/02 ANAKAN SFI/2026-04</t>
  </si>
  <si>
    <t xml:space="preserve">Kelahiran 2026-04 (5 ekor)</t>
  </si>
  <si>
    <t xml:space="preserve">            099-SFI-ANAK</t>
  </si>
  <si>
    <t xml:space="preserve">SFI - DOKUMENTASI TERNAK/02 ANAKAN SFI/2026-04/099-SFI-ANAK</t>
  </si>
  <si>
    <t xml:space="preserve">Lahir 2026-04-11 - Jantan - indukan </t>
  </si>
  <si>
    <t xml:space="preserve">            212-SFI</t>
  </si>
  <si>
    <t xml:space="preserve">SFI - DOKUMENTASI TERNAK/02 ANAKAN SFI/2026-04/212-SFI</t>
  </si>
  <si>
    <t xml:space="preserve">Lahir 2026-04-24 - Jantan - indukan 273</t>
  </si>
  <si>
    <t xml:space="preserve">            217-SFI</t>
  </si>
  <si>
    <t xml:space="preserve">SFI - DOKUMENTASI TERNAK/02 ANAKAN SFI/2026-04/217-SFI</t>
  </si>
  <si>
    <t xml:space="preserve">Lahir 2026-04-11 - Jantan - indukan 077</t>
  </si>
  <si>
    <t xml:space="preserve">            229-SFI</t>
  </si>
  <si>
    <t xml:space="preserve">SFI - DOKUMENTASI TERNAK/02 ANAKAN SFI/2026-04/229-SFI</t>
  </si>
  <si>
    <t xml:space="preserve">Lahir 2026-04-11 - Jantan - indukan 242</t>
  </si>
  <si>
    <t xml:space="preserve">            233-SFI</t>
  </si>
  <si>
    <t xml:space="preserve">SFI - DOKUMENTASI TERNAK/02 ANAKAN SFI/2026-04/233-SFI</t>
  </si>
  <si>
    <t xml:space="preserve">        2026-05</t>
  </si>
  <si>
    <t xml:space="preserve">SFI - DOKUMENTASI TERNAK/02 ANAKAN SFI/2026-05</t>
  </si>
  <si>
    <t xml:space="preserve">Kelahiran 2026-05 (14 ekor)</t>
  </si>
  <si>
    <t xml:space="preserve">            210-SFI</t>
  </si>
  <si>
    <t xml:space="preserve">SFI - DOKUMENTASI TERNAK/02 ANAKAN SFI/2026-05/210-SFI</t>
  </si>
  <si>
    <t xml:space="preserve">Lahir 2026-05-28 - Betina - indukan 061</t>
  </si>
  <si>
    <t xml:space="preserve">            214-SFI</t>
  </si>
  <si>
    <t xml:space="preserve">SFI - DOKUMENTASI TERNAK/02 ANAKAN SFI/2026-05/214-SFI</t>
  </si>
  <si>
    <t xml:space="preserve">Lahir 2026-05-28 - Jantan - indukan 061</t>
  </si>
  <si>
    <t xml:space="preserve">            215-SFI</t>
  </si>
  <si>
    <t xml:space="preserve">SFI - DOKUMENTASI TERNAK/02 ANAKAN SFI/2026-05/215-SFI</t>
  </si>
  <si>
    <t xml:space="preserve">Lahir 2026-05-18 - Betina - indukan 046</t>
  </si>
  <si>
    <t xml:space="preserve">            216-SFI</t>
  </si>
  <si>
    <t xml:space="preserve">SFI - DOKUMENTASI TERNAK/02 ANAKAN SFI/2026-05/216-SFI</t>
  </si>
  <si>
    <t xml:space="preserve">Lahir 2026-05-09 - Jantan - indukan 248</t>
  </si>
  <si>
    <t xml:space="preserve">            224-SFI</t>
  </si>
  <si>
    <t xml:space="preserve">SFI - DOKUMENTASI TERNAK/02 ANAKAN SFI/2026-05/224-SFI</t>
  </si>
  <si>
    <t xml:space="preserve">Lahir 2026-05-25 - Betina - indukan 061</t>
  </si>
  <si>
    <t xml:space="preserve">            228-SFI</t>
  </si>
  <si>
    <t xml:space="preserve">SFI - DOKUMENTASI TERNAK/02 ANAKAN SFI/2026-05/228-SFI</t>
  </si>
  <si>
    <t xml:space="preserve">Lahir 2026-05-23 - Jantan - indukan 271</t>
  </si>
  <si>
    <t xml:space="preserve">            236-SFI</t>
  </si>
  <si>
    <t xml:space="preserve">SFI - DOKUMENTASI TERNAK/02 ANAKAN SFI/2026-05/236-SFI</t>
  </si>
  <si>
    <t xml:space="preserve">            240-SFI</t>
  </si>
  <si>
    <t xml:space="preserve">SFI - DOKUMENTASI TERNAK/02 ANAKAN SFI/2026-05/240-SFI</t>
  </si>
  <si>
    <t xml:space="preserve">Lahir 2026-05-19 - Jantan - indukan 264</t>
  </si>
  <si>
    <t xml:space="preserve">            286-SFI-ANAK</t>
  </si>
  <si>
    <t xml:space="preserve">SFI - DOKUMENTASI TERNAK/02 ANAKAN SFI/2026-05/286-SFI-ANAK</t>
  </si>
  <si>
    <t xml:space="preserve">Lahir 2026-05-18 - Jantan - indukan 046</t>
  </si>
  <si>
    <t xml:space="preserve">            295-SFI</t>
  </si>
  <si>
    <t xml:space="preserve">SFI - DOKUMENTASI TERNAK/02 ANAKAN SFI/2026-05/295-SFI</t>
  </si>
  <si>
    <t xml:space="preserve">Lahir 2026-05-27 - Jantan - indukan 064</t>
  </si>
  <si>
    <t xml:space="preserve">            306-SFI</t>
  </si>
  <si>
    <t xml:space="preserve">SFI - DOKUMENTASI TERNAK/02 ANAKAN SFI/2026-05/306-SFI</t>
  </si>
  <si>
    <t xml:space="preserve">Lahir 2026-05-28 - Betina - indukan 122</t>
  </si>
  <si>
    <t xml:space="preserve">            309-SFI</t>
  </si>
  <si>
    <t xml:space="preserve">SFI - DOKUMENTASI TERNAK/02 ANAKAN SFI/2026-05/309-SFI</t>
  </si>
  <si>
    <t xml:space="preserve">Lahir 2026-05-28 - Jantan - indukan 167</t>
  </si>
  <si>
    <t xml:space="preserve">            388-SFI</t>
  </si>
  <si>
    <t xml:space="preserve">SFI - DOKUMENTASI TERNAK/02 ANAKAN SFI/2026-05/388-SFI</t>
  </si>
  <si>
    <t xml:space="preserve">Lahir 2026-05-20 - Jantan - indukan 198</t>
  </si>
  <si>
    <t xml:space="preserve">            F20-SFI</t>
  </si>
  <si>
    <t xml:space="preserve">SFI - DOKUMENTASI TERNAK/02 ANAKAN SFI/2026-05/F20-SFI</t>
  </si>
  <si>
    <t xml:space="preserve">Lahir 2026-05-07 - Betina - indukan 257</t>
  </si>
  <si>
    <t xml:space="preserve">        2026-06</t>
  </si>
  <si>
    <t xml:space="preserve">SFI - DOKUMENTASI TERNAK/02 ANAKAN SFI/2026-06</t>
  </si>
  <si>
    <t xml:space="preserve">Kelahiran 2026-06 (5 ekor)</t>
  </si>
  <si>
    <t xml:space="preserve">            213-SFI-ANAK</t>
  </si>
  <si>
    <t xml:space="preserve">SFI - DOKUMENTASI TERNAK/02 ANAKAN SFI/2026-06/213-SFI-ANAK</t>
  </si>
  <si>
    <t xml:space="preserve">Lahir 2026-06-06 - Jantan - indukan 266</t>
  </si>
  <si>
    <t xml:space="preserve">            219-SFI</t>
  </si>
  <si>
    <t xml:space="preserve">SFI - DOKUMENTASI TERNAK/02 ANAKAN SFI/2026-06/219-SFI</t>
  </si>
  <si>
    <t xml:space="preserve">Lahir 2026-06-16 - Jantan - indukan 019</t>
  </si>
  <si>
    <t xml:space="preserve">            285-SFI</t>
  </si>
  <si>
    <t xml:space="preserve">SFI - DOKUMENTASI TERNAK/02 ANAKAN SFI/2026-06/285-SFI</t>
  </si>
  <si>
    <t xml:space="preserve">Lahir 2026-06-04 - Betina - indukan 011</t>
  </si>
  <si>
    <t xml:space="preserve">            292-SFI-ANAK</t>
  </si>
  <si>
    <t xml:space="preserve">SFI - DOKUMENTASI TERNAK/02 ANAKAN SFI/2026-06/292-SFI-ANAK</t>
  </si>
  <si>
    <t xml:space="preserve">Lahir 2026-06-06 - Betina - indukan 266</t>
  </si>
  <si>
    <t xml:space="preserve">            294-SFI</t>
  </si>
  <si>
    <t xml:space="preserve">SFI - DOKUMENTASI TERNAK/02 ANAKAN SFI/2026-06/294-SFI</t>
  </si>
  <si>
    <t xml:space="preserve">Lahir 2026-06-04 - Jantan - indukan 011</t>
  </si>
  <si>
    <t xml:space="preserve">SISA YANG PERLU ANDA LENGKAPI</t>
  </si>
  <si>
    <t xml:space="preserve">Lima poin sebelumnya sudah diterapkan. Ini sisanya.</t>
  </si>
  <si>
    <t xml:space="preserve">KATEGORI</t>
  </si>
  <si>
    <t xml:space="preserve">TAG</t>
  </si>
  <si>
    <t xml:space="preserve">TANGGAL</t>
  </si>
  <si>
    <t xml:space="preserve">MASALAH</t>
  </si>
  <si>
    <t xml:space="preserve">JAWABAN ANDA</t>
  </si>
  <si>
    <t xml:space="preserve">Jenis kelamin belum ada</t>
  </si>
  <si>
    <t xml:space="preserve">B35-SFI</t>
  </si>
  <si>
    <t xml:space="preserve">JK tidak tertulis di catatan tangan</t>
  </si>
  <si>
    <t xml:space="preserve">B36-SFI</t>
  </si>
  <si>
    <t xml:space="preserve">B37-SFI</t>
  </si>
  <si>
    <t xml:space="preserve">B41-VINA</t>
  </si>
  <si>
    <t xml:space="preserve">B42-VINA</t>
  </si>
  <si>
    <t xml:space="preserve">Nomor eartag belum ada</t>
  </si>
  <si>
    <t xml:space="preserve">(kosong)</t>
  </si>
  <si>
    <t xml:space="preserve">Jantan dari indukan ?</t>
  </si>
  <si>
    <t xml:space="preserve">Betina dari indukan 049</t>
  </si>
  <si>
    <t xml:space="preserve">Jantan dari indukan 04</t>
  </si>
  <si>
    <t xml:space="preserve">Betina dari indukan 057</t>
  </si>
  <si>
    <t xml:space="preserve">Jantan dari indukan 676</t>
  </si>
  <si>
    <t xml:space="preserve">Tgl lahir indukan belum ada</t>
  </si>
  <si>
    <t xml:space="preserve">Indukan F2 milik OKI</t>
  </si>
  <si>
    <t xml:space="preserve">284-OKI</t>
  </si>
  <si>
    <t xml:space="preserve">277-OKI</t>
  </si>
  <si>
    <t xml:space="preserve">291-OKI</t>
  </si>
  <si>
    <t xml:space="preserve">011-SFI</t>
  </si>
  <si>
    <t xml:space="preserve">Indukan lokal milik SFI</t>
  </si>
  <si>
    <t xml:space="preserve">015-SFI</t>
  </si>
  <si>
    <t xml:space="preserve">Indukan merino milik SFI</t>
  </si>
  <si>
    <t xml:space="preserve">019-SFI</t>
  </si>
  <si>
    <t xml:space="preserve">023-SFI</t>
  </si>
  <si>
    <t xml:space="preserve">028-SFI</t>
  </si>
  <si>
    <t xml:space="preserve">0338-SFI</t>
  </si>
  <si>
    <t xml:space="preserve">04-SFI</t>
  </si>
  <si>
    <t xml:space="preserve">042-SFI</t>
  </si>
  <si>
    <t xml:space="preserve">Indukan F1 milik SFI</t>
  </si>
  <si>
    <t xml:space="preserve">046-SFI</t>
  </si>
  <si>
    <t xml:space="preserve">049-SFI</t>
  </si>
  <si>
    <t xml:space="preserve">056-SFI</t>
  </si>
  <si>
    <t xml:space="preserve">057-SFI</t>
  </si>
  <si>
    <t xml:space="preserve">061-SFI</t>
  </si>
  <si>
    <t xml:space="preserve">064-SFI</t>
  </si>
  <si>
    <t xml:space="preserve">065-SFI</t>
  </si>
  <si>
    <t xml:space="preserve">069-SFI</t>
  </si>
  <si>
    <t xml:space="preserve">077-SFI</t>
  </si>
  <si>
    <t xml:space="preserve">079-SFI</t>
  </si>
  <si>
    <t xml:space="preserve">084-SFI</t>
  </si>
  <si>
    <t xml:space="preserve">122-SFI</t>
  </si>
  <si>
    <t xml:space="preserve">167-SFI</t>
  </si>
  <si>
    <t xml:space="preserve">198-SFI</t>
  </si>
  <si>
    <t xml:space="preserve">231-SFI</t>
  </si>
  <si>
    <t xml:space="preserve">Indukan F2 milik SFI</t>
  </si>
  <si>
    <t xml:space="preserve">242-SFI</t>
  </si>
  <si>
    <t xml:space="preserve">Indukan teksel milik SFI</t>
  </si>
  <si>
    <t xml:space="preserve">248-SFI</t>
  </si>
  <si>
    <t xml:space="preserve">257-SFI</t>
  </si>
  <si>
    <t xml:space="preserve">264-SFI</t>
  </si>
  <si>
    <t xml:space="preserve">266-SFI</t>
  </si>
  <si>
    <t xml:space="preserve">271-SFI</t>
  </si>
  <si>
    <t xml:space="preserve">273-SFI</t>
  </si>
  <si>
    <t xml:space="preserve">676-SFI</t>
  </si>
  <si>
    <t xml:space="preserve">900-SFI</t>
  </si>
  <si>
    <t xml:space="preserve">Beda tgl vs file mitra</t>
  </si>
  <si>
    <t xml:space="preserve">Catatan tangan 2025-11-22 vs file VINA 2025-11-24 - koreksi file mitra?</t>
  </si>
  <si>
    <t xml:space="preserve">Catatan tangan 2025-11-23 vs file FAHRI 2025-11-24 - koreksi file mitra?</t>
  </si>
  <si>
    <t xml:space="preserve">Catatan tangan 2025-11-24 vs file FAHRI 2025-11-26 - koreksi file mitra?</t>
  </si>
  <si>
    <t xml:space="preserve">Catatan tangan 2025-11-27 vs file VINA 2025-11-29 - koreksi file mitra?</t>
  </si>
  <si>
    <t xml:space="preserve">Catatan tangan 2025-12-03 vs file VINA 2025-12-01 - koreksi file mitra?</t>
  </si>
  <si>
    <t xml:space="preserve">Catatan tangan 2025-12-09 vs file FAHRI 2025-12-10 - koreksi file mitra?</t>
  </si>
  <si>
    <t xml:space="preserve">Konflik nomor 269</t>
  </si>
  <si>
    <t xml:space="preserve">File VINA: 269 = eartag baru B42 (1 Des 2025). Catatan tangan: 269 = anak 17 Feb 2026 dari indukan 087. File VINA juga punya 289 lahir 17 Feb 2026.</t>
  </si>
  <si>
    <t xml:space="preserve">TAMBAHAN: BELUM ADA NOMOR EARTAG</t>
  </si>
  <si>
    <t xml:space="preserve">TAG SEMENTARA</t>
  </si>
  <si>
    <t xml:space="preserve">TANGGAL TERKAIT</t>
  </si>
  <si>
    <t xml:space="preserve">NOMOR ASLI (isi di sini)</t>
  </si>
  <si>
    <t xml:space="preserve">BELUM ADA NO-01-SFI</t>
  </si>
  <si>
    <t xml:space="preserve">Terdeteksi dari kelahiran 2025-09-24. Anakan: B06-SFI</t>
  </si>
  <si>
    <t xml:space="preserve">BELUM ADA NO-02-SFI</t>
  </si>
  <si>
    <t xml:space="preserve">Terdeteksi dari kelahiran 2025-09-29. Anakan: B08-SFI</t>
  </si>
  <si>
    <t xml:space="preserve">BELUM ADA NO-03-SFI</t>
  </si>
  <si>
    <t xml:space="preserve">Terdeteksi dari kelahiran 2025-10-12. Anakan: B11-SFI</t>
  </si>
  <si>
    <t xml:space="preserve">BELUM ADA NO-04-SFI</t>
  </si>
  <si>
    <t xml:space="preserve">Terdeteksi dari kelahiran 2025-11-12. Anakan: BELUM ADA NO-ANAK-01-SFI</t>
  </si>
  <si>
    <t xml:space="preserve">BELUM ADA NO-05-SFI</t>
  </si>
  <si>
    <t xml:space="preserve">Terdeteksi dari kelahiran 2025-12-08. Anakan: B46-SFI, B47-SFI</t>
  </si>
  <si>
    <t xml:space="preserve">BELUM ADA NO-06-SFI</t>
  </si>
  <si>
    <t xml:space="preserve">Terdeteksi dari kelahiran 2026-04-11. Anakan: 099-SFI-ANAK</t>
  </si>
  <si>
    <t xml:space="preserve">Lahir 2025-11-12, Jantan, indukan BELUM ADA NO-04. lahir 1 jantan BB 3.45 - INDUKAN MENINGGAL; nomor anak tidak</t>
  </si>
  <si>
    <t xml:space="preserve">BELUM ADA NO-ANAK-02-SFI</t>
  </si>
  <si>
    <t xml:space="preserve">Lahir 2025-12-28, Betina, indukan 049. lahir 1 betina - nomor anak TIDAK tertulis</t>
  </si>
  <si>
    <t xml:space="preserve">BELUM ADA NO-ANAK-03-SFI</t>
  </si>
  <si>
    <t xml:space="preserve">Lahir 2025-12-28, Jantan, indukan 04. nomor anak tidak tertulis; ertek indukan '04?' terpotong</t>
  </si>
  <si>
    <t xml:space="preserve">BELUM ADA NO-ANAK-04-SFI</t>
  </si>
  <si>
    <t xml:space="preserve">Lahir 2025-12-28, Betina, indukan 057. nomor anak tidak tertulis</t>
  </si>
  <si>
    <t xml:space="preserve">BELUM ADA NO-ANAK-05-SFI</t>
  </si>
  <si>
    <t xml:space="preserve">Lahir 2025-12-29, Jantan, indukan 676. nomor anak tidak tertulis</t>
  </si>
  <si>
    <t xml:space="preserve">KELAHIRAN JAN - JUL 2025 (catatan ringkas, tanpa detail)</t>
  </si>
  <si>
    <t xml:space="preserve">Catatan periode ini hanya tanggal &amp; jumlah. Belum masuk database utama.</t>
  </si>
  <si>
    <t xml:space="preserve">tanpa detail nomor/BB/indukan</t>
  </si>
  <si>
    <t xml:space="preserve">img4</t>
  </si>
  <si>
    <t xml:space="preserve">tanpa detail</t>
  </si>
  <si>
    <t xml:space="preserve">lahir 3 ekor mati 1; ada catatan tambahan lahir 4 ekor mati 1, lahir 5 ekor mati 2 - blok ini ambigu</t>
  </si>
  <si>
    <t xml:space="preserve">tertulis 18 maret 2025 lagi - kemungkinan duplikat no 10</t>
  </si>
  <si>
    <t xml:space="preserve">lahir 1 ekor x3 baris berturut</t>
  </si>
  <si>
    <t xml:space="preserve">lahir 1 ekor, lahir 1 ekor</t>
  </si>
  <si>
    <t xml:space="preserve">img5</t>
  </si>
  <si>
    <t xml:space="preserve">lahir 2 ekor + lahir 1 ekor</t>
  </si>
  <si>
    <t xml:space="preserve">lahir 2 ekor + lahir 2 ekor</t>
  </si>
  <si>
    <t xml:space="preserve">jenis F1</t>
  </si>
  <si>
    <t xml:space="preserve">TABEL REFERENSI</t>
  </si>
  <si>
    <t xml:space="preserve">cross</t>
  </si>
  <si>
    <t xml:space="preserve">GENERASI ANAKAN DARI INDUKAN</t>
  </si>
  <si>
    <t xml:space="preserve">GENERASI ANAKAN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</si>
</sst>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"/>
    <numFmt numFmtId="167" formatCode="General"/>
    <numFmt numFmtId="168" formatCode="dd\-mm\-yyyy"/>
    <numFmt numFmtId="169" formatCode="0.0"/>
    <numFmt numFmtId="170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color rgb="FF80808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20"/>
      <color rgb="FF1F4E78"/>
      <name val="Cambria"/>
      <family val="0"/>
      <charset val="1"/>
    </font>
    <font>
      <b val="true"/>
      <sz val="14"/>
      <color rgb="FFC55A11"/>
      <name val="Cambria"/>
      <family val="0"/>
      <charset val="1"/>
    </font>
    <font>
      <i val="true"/>
      <sz val="10"/>
      <color rgb="FF808080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2"/>
      <color rgb="FFC0000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E2EFDA"/>
      <rgbColor rgb="FFFFE6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C55A11"/>
      <rgbColor rgb="FF8064A2"/>
      <rgbColor rgb="FFB0B0B0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Populasi per Pemilik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'LAPORAN ANALISA'!B17</c:f>
              <c:strCache>
                <c:ptCount val="1"/>
                <c:pt idx="0">
                  <c:v>INDUKAN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'LAPORAN ANALISA'!$A$18:$A$23</c:f>
              <c:strCache>
                <c:ptCount val="6"/>
                <c:pt idx="0">
                  <c:v>FAHRI</c:v>
                </c:pt>
                <c:pt idx="1">
                  <c:v>OKI</c:v>
                </c:pt>
                <c:pt idx="2">
                  <c:v>LETA</c:v>
                </c:pt>
                <c:pt idx="3">
                  <c:v>AGENG</c:v>
                </c:pt>
                <c:pt idx="4">
                  <c:v>VINA</c:v>
                </c:pt>
                <c:pt idx="5">
                  <c:v>SFI</c:v>
                </c:pt>
              </c:strCache>
            </c:strRef>
          </c:cat>
          <c:val>
            <c:numRef>
              <c:f>'LAPORAN ANALISA'!$B$18:$B$23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39</c:v>
                </c:pt>
              </c:numCache>
            </c:numRef>
          </c:val>
        </c:ser>
        <c:ser>
          <c:idx val="1"/>
          <c:order val="1"/>
          <c:tx>
            <c:strRef>
              <c:f>'LAPORAN ANALISA'!C17</c:f>
              <c:strCache>
                <c:ptCount val="1"/>
                <c:pt idx="0">
                  <c:v>ANAKAN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'LAPORAN ANALISA'!$A$18:$A$23</c:f>
              <c:strCache>
                <c:ptCount val="6"/>
                <c:pt idx="0">
                  <c:v>FAHRI</c:v>
                </c:pt>
                <c:pt idx="1">
                  <c:v>OKI</c:v>
                </c:pt>
                <c:pt idx="2">
                  <c:v>LETA</c:v>
                </c:pt>
                <c:pt idx="3">
                  <c:v>AGENG</c:v>
                </c:pt>
                <c:pt idx="4">
                  <c:v>VINA</c:v>
                </c:pt>
                <c:pt idx="5">
                  <c:v>SFI</c:v>
                </c:pt>
              </c:strCache>
            </c:strRef>
          </c:cat>
          <c:val>
            <c:numRef>
              <c:f>'LAPORAN ANALISA'!$C$18:$C$23</c:f>
              <c:numCache>
                <c:formatCode>General</c:formatCode>
                <c:ptCount val="6"/>
                <c:pt idx="0">
                  <c:v>13</c:v>
                </c:pt>
                <c:pt idx="1">
                  <c:v>2</c:v>
                </c:pt>
                <c:pt idx="2">
                  <c:v>6</c:v>
                </c:pt>
                <c:pt idx="3">
                  <c:v>5</c:v>
                </c:pt>
                <c:pt idx="4">
                  <c:v>17</c:v>
                </c:pt>
                <c:pt idx="5">
                  <c:v>59</c:v>
                </c:pt>
              </c:numCache>
            </c:numRef>
          </c:val>
        </c:ser>
        <c:gapWidth val="150"/>
        <c:overlap val="0"/>
        <c:axId val="95232546"/>
        <c:axId val="97228307"/>
      </c:barChart>
      <c:catAx>
        <c:axId val="952325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28307"/>
        <c:crosses val="autoZero"/>
        <c:auto val="1"/>
        <c:lblAlgn val="ctr"/>
        <c:lblOffset val="100"/>
        <c:noMultiLvlLbl val="0"/>
      </c:catAx>
      <c:valAx>
        <c:axId val="972283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325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Tren Kelahiran Bulanan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'LAPORAN ANALISA'!B68</c:f>
              <c:strCache>
                <c:ptCount val="1"/>
                <c:pt idx="0">
                  <c:v>Jumlah Kelahiran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'LAPORAN ANALISA'!$A$69:$A$77</c:f>
              <c:strCache>
                <c:ptCount val="9"/>
                <c:pt idx="0">
                  <c:v>Sep 25</c:v>
                </c:pt>
                <c:pt idx="1">
                  <c:v>Okt 25</c:v>
                </c:pt>
                <c:pt idx="2">
                  <c:v>Nov 25</c:v>
                </c:pt>
                <c:pt idx="3">
                  <c:v>Des 25</c:v>
                </c:pt>
                <c:pt idx="4">
                  <c:v>Feb 26</c:v>
                </c:pt>
                <c:pt idx="5">
                  <c:v>Apr 26</c:v>
                </c:pt>
                <c:pt idx="6">
                  <c:v>Mei 26</c:v>
                </c:pt>
                <c:pt idx="7">
                  <c:v>Jun 26</c:v>
                </c:pt>
                <c:pt idx="8">
                  <c:v>Jul 26</c:v>
                </c:pt>
              </c:strCache>
            </c:strRef>
          </c:cat>
          <c:val>
            <c:numRef>
              <c:f>'LAPORAN ANALISA'!$B$69:$B$77</c:f>
              <c:numCache>
                <c:formatCode>General</c:formatCode>
                <c:ptCount val="9"/>
                <c:pt idx="0">
                  <c:v>7</c:v>
                </c:pt>
                <c:pt idx="1">
                  <c:v>10</c:v>
                </c:pt>
                <c:pt idx="2">
                  <c:v>22</c:v>
                </c:pt>
                <c:pt idx="3">
                  <c:v>19</c:v>
                </c:pt>
                <c:pt idx="4">
                  <c:v>1</c:v>
                </c:pt>
                <c:pt idx="5">
                  <c:v>14</c:v>
                </c:pt>
                <c:pt idx="6">
                  <c:v>21</c:v>
                </c:pt>
                <c:pt idx="7">
                  <c:v>7</c:v>
                </c:pt>
                <c:pt idx="8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189207"/>
        <c:axId val="91166394"/>
      </c:lineChart>
      <c:catAx>
        <c:axId val="931892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66394"/>
        <c:crosses val="autoZero"/>
        <c:auto val="1"/>
        <c:lblAlgn val="ctr"/>
        <c:lblOffset val="100"/>
        <c:noMultiLvlLbl val="0"/>
      </c:catAx>
      <c:valAx>
        <c:axId val="9116639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1892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Komposisi Generasi Anakan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'LAPORAN ANALISA'!B59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'LAPORAN ANALISA'!$A$60:$A$63</c:f>
              <c:strCache>
                <c:ptCount val="4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PURE</c:v>
                </c:pt>
              </c:strCache>
            </c:strRef>
          </c:cat>
          <c:val>
            <c:numRef>
              <c:f>'LAPORAN ANALISA'!$B$60:$B$63</c:f>
              <c:numCache>
                <c:formatCode>General</c:formatCode>
                <c:ptCount val="4"/>
                <c:pt idx="0">
                  <c:v>57</c:v>
                </c:pt>
                <c:pt idx="1">
                  <c:v>29</c:v>
                </c:pt>
                <c:pt idx="2">
                  <c:v>15</c:v>
                </c:pt>
                <c:pt idx="3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Ternak Saat Ini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'LAPORAN ANALISA'!B81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'LAPORAN ANALISA'!$A$82:$A$87</c:f>
              <c:strCache>
                <c:ptCount val="6"/>
                <c:pt idx="0">
                  <c:v>Cempe Lahir</c:v>
                </c:pt>
                <c:pt idx="1">
                  <c:v>Cempe Sapih</c:v>
                </c:pt>
                <c:pt idx="2">
                  <c:v>Bakalan</c:v>
                </c:pt>
                <c:pt idx="3">
                  <c:v>Dara</c:v>
                </c:pt>
                <c:pt idx="4">
                  <c:v>Betina Siap Kawin</c:v>
                </c:pt>
                <c:pt idx="5">
                  <c:v>Jantan Siap Kawin</c:v>
                </c:pt>
              </c:strCache>
            </c:strRef>
          </c:cat>
          <c:val>
            <c:numRef>
              <c:f>'LAPORAN ANALISA'!$B$82:$B$87</c:f>
              <c:numCache>
                <c:formatCode>General</c:formatCode>
                <c:ptCount val="6"/>
                <c:pt idx="0">
                  <c:v>34</c:v>
                </c:pt>
                <c:pt idx="1">
                  <c:v>10</c:v>
                </c:pt>
                <c:pt idx="2">
                  <c:v>28</c:v>
                </c:pt>
                <c:pt idx="3">
                  <c:v>18</c:v>
                </c:pt>
                <c:pt idx="4">
                  <c:v>12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1946221"/>
        <c:axId val="47986253"/>
      </c:barChart>
      <c:catAx>
        <c:axId val="919462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986253"/>
        <c:crosses val="autoZero"/>
        <c:auto val="1"/>
        <c:lblAlgn val="ctr"/>
        <c:lblOffset val="100"/>
        <c:noMultiLvlLbl val="0"/>
      </c:catAx>
      <c:valAx>
        <c:axId val="479862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462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Bobot Lahir per Jenis Indukan (kg)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'LAPORAN ANALISA'!C49</c:f>
              <c:strCache>
                <c:ptCount val="1"/>
                <c:pt idx="0">
                  <c:v>Rata-rata BB (kg)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'LAPORAN ANALISA'!$A$50:$A$53</c:f>
              <c:strCache>
                <c:ptCount val="4"/>
                <c:pt idx="0">
                  <c:v>F2 Dorper</c:v>
                </c:pt>
                <c:pt idx="1">
                  <c:v>Lokal/Komposit</c:v>
                </c:pt>
                <c:pt idx="2">
                  <c:v>F1 Dorper</c:v>
                </c:pt>
                <c:pt idx="3">
                  <c:v>Domba Garut</c:v>
                </c:pt>
              </c:strCache>
            </c:strRef>
          </c:cat>
          <c:val>
            <c:numRef>
              <c:f>'LAPORAN ANALISA'!$C$50:$C$53</c:f>
              <c:numCache>
                <c:formatCode>General</c:formatCode>
                <c:ptCount val="4"/>
                <c:pt idx="0">
                  <c:v>3.94</c:v>
                </c:pt>
                <c:pt idx="1">
                  <c:v>3.7</c:v>
                </c:pt>
                <c:pt idx="2">
                  <c:v>3.55</c:v>
                </c:pt>
                <c:pt idx="3">
                  <c:v>3.35</c:v>
                </c:pt>
              </c:numCache>
            </c:numRef>
          </c:val>
        </c:ser>
        <c:gapWidth val="150"/>
        <c:overlap val="0"/>
        <c:axId val="71798740"/>
        <c:axId val="902378"/>
      </c:barChart>
      <c:catAx>
        <c:axId val="717987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378"/>
        <c:crosses val="autoZero"/>
        <c:auto val="1"/>
        <c:lblAlgn val="ctr"/>
        <c:lblOffset val="100"/>
        <c:noMultiLvlLbl val="0"/>
      </c:catAx>
      <c:valAx>
        <c:axId val="90237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98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40680</xdr:rowOff>
    </xdr:from>
    <xdr:to>
      <xdr:col>16</xdr:col>
      <xdr:colOff>147240</xdr:colOff>
      <xdr:row>19</xdr:row>
      <xdr:rowOff>62640</xdr:rowOff>
    </xdr:to>
    <xdr:graphicFrame>
      <xdr:nvGraphicFramePr>
        <xdr:cNvPr id="0" name="Chart 1"/>
        <xdr:cNvGraphicFramePr/>
      </xdr:nvGraphicFramePr>
      <xdr:xfrm>
        <a:off x="10338480" y="94572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22</xdr:row>
      <xdr:rowOff>40680</xdr:rowOff>
    </xdr:from>
    <xdr:to>
      <xdr:col>16</xdr:col>
      <xdr:colOff>147240</xdr:colOff>
      <xdr:row>37</xdr:row>
      <xdr:rowOff>62640</xdr:rowOff>
    </xdr:to>
    <xdr:graphicFrame>
      <xdr:nvGraphicFramePr>
        <xdr:cNvPr id="1" name="Chart 2"/>
        <xdr:cNvGraphicFramePr/>
      </xdr:nvGraphicFramePr>
      <xdr:xfrm>
        <a:off x="10338480" y="437472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40</xdr:row>
      <xdr:rowOff>40680</xdr:rowOff>
    </xdr:from>
    <xdr:to>
      <xdr:col>16</xdr:col>
      <xdr:colOff>147240</xdr:colOff>
      <xdr:row>54</xdr:row>
      <xdr:rowOff>83520</xdr:rowOff>
    </xdr:to>
    <xdr:graphicFrame>
      <xdr:nvGraphicFramePr>
        <xdr:cNvPr id="2" name="Chart 3"/>
        <xdr:cNvGraphicFramePr/>
      </xdr:nvGraphicFramePr>
      <xdr:xfrm>
        <a:off x="10338480" y="7803720"/>
        <a:ext cx="5039280" cy="287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57</xdr:row>
      <xdr:rowOff>61560</xdr:rowOff>
    </xdr:from>
    <xdr:to>
      <xdr:col>16</xdr:col>
      <xdr:colOff>147240</xdr:colOff>
      <xdr:row>71</xdr:row>
      <xdr:rowOff>104400</xdr:rowOff>
    </xdr:to>
    <xdr:graphicFrame>
      <xdr:nvGraphicFramePr>
        <xdr:cNvPr id="3" name="Chart 4"/>
        <xdr:cNvGraphicFramePr/>
      </xdr:nvGraphicFramePr>
      <xdr:xfrm>
        <a:off x="10338480" y="11224800"/>
        <a:ext cx="5039280" cy="2871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74</xdr:row>
      <xdr:rowOff>82440</xdr:rowOff>
    </xdr:from>
    <xdr:to>
      <xdr:col>16</xdr:col>
      <xdr:colOff>147240</xdr:colOff>
      <xdr:row>89</xdr:row>
      <xdr:rowOff>104400</xdr:rowOff>
    </xdr:to>
    <xdr:graphicFrame>
      <xdr:nvGraphicFramePr>
        <xdr:cNvPr id="4" name="Chart 5"/>
        <xdr:cNvGraphicFramePr/>
      </xdr:nvGraphicFramePr>
      <xdr:xfrm>
        <a:off x="10338480" y="14646240"/>
        <a:ext cx="503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52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5" t="s">
        <v>3</v>
      </c>
      <c r="B6" s="1" t="s">
        <v>4</v>
      </c>
    </row>
    <row r="7" customFormat="false" ht="15" hidden="false" customHeight="true" outlineLevel="0" collapsed="false">
      <c r="A7" s="6" t="s">
        <v>5</v>
      </c>
      <c r="B7" s="1" t="s">
        <v>6</v>
      </c>
    </row>
    <row r="8" customFormat="false" ht="15" hidden="false" customHeight="true" outlineLevel="0" collapsed="false">
      <c r="A8" s="7" t="s">
        <v>7</v>
      </c>
      <c r="B8" s="1" t="s">
        <v>8</v>
      </c>
    </row>
    <row r="9" customFormat="false" ht="15" hidden="false" customHeight="true" outlineLevel="0" collapsed="false">
      <c r="A9" s="8" t="s">
        <v>9</v>
      </c>
      <c r="B9" s="1" t="s">
        <v>10</v>
      </c>
    </row>
    <row r="10" customFormat="false" ht="15" hidden="false" customHeight="true" outlineLevel="0" collapsed="false">
      <c r="A10" s="9" t="s">
        <v>11</v>
      </c>
      <c r="B10" s="1" t="s">
        <v>12</v>
      </c>
    </row>
    <row r="12" customFormat="false" ht="15" hidden="false" customHeight="true" outlineLevel="0" collapsed="false">
      <c r="A12" s="4" t="s">
        <v>13</v>
      </c>
    </row>
    <row r="13" customFormat="false" ht="15" hidden="false" customHeight="true" outlineLevel="0" collapsed="false">
      <c r="A13" s="1" t="s">
        <v>14</v>
      </c>
      <c r="B13" s="1" t="s">
        <v>9</v>
      </c>
    </row>
    <row r="14" customFormat="false" ht="15" hidden="false" customHeight="true" outlineLevel="0" collapsed="false">
      <c r="A14" s="1" t="s">
        <v>15</v>
      </c>
      <c r="B14" s="1" t="s">
        <v>5</v>
      </c>
    </row>
    <row r="15" customFormat="false" ht="15" hidden="false" customHeight="true" outlineLevel="0" collapsed="false">
      <c r="A15" s="1" t="s">
        <v>16</v>
      </c>
      <c r="B15" s="1" t="s">
        <v>17</v>
      </c>
    </row>
    <row r="16" customFormat="false" ht="15" hidden="false" customHeight="true" outlineLevel="0" collapsed="false">
      <c r="A16" s="1" t="s">
        <v>18</v>
      </c>
      <c r="B16" s="1" t="s">
        <v>3</v>
      </c>
    </row>
    <row r="17" customFormat="false" ht="15" hidden="false" customHeight="true" outlineLevel="0" collapsed="false">
      <c r="A17" s="1" t="s">
        <v>19</v>
      </c>
      <c r="B17" s="1" t="s">
        <v>20</v>
      </c>
    </row>
    <row r="19" customFormat="false" ht="15" hidden="false" customHeight="true" outlineLevel="0" collapsed="false">
      <c r="A19" s="4" t="s">
        <v>21</v>
      </c>
    </row>
    <row r="20" customFormat="false" ht="15" hidden="false" customHeight="true" outlineLevel="0" collapsed="false">
      <c r="A20" s="1" t="s">
        <v>22</v>
      </c>
      <c r="B20" s="1" t="s">
        <v>23</v>
      </c>
    </row>
    <row r="21" customFormat="false" ht="15" hidden="false" customHeight="true" outlineLevel="0" collapsed="false">
      <c r="A21" s="1" t="s">
        <v>24</v>
      </c>
      <c r="B21" s="1" t="s">
        <v>25</v>
      </c>
    </row>
    <row r="22" customFormat="false" ht="15" hidden="false" customHeight="true" outlineLevel="0" collapsed="false">
      <c r="A22" s="1" t="s">
        <v>26</v>
      </c>
      <c r="B22" s="1" t="s">
        <v>27</v>
      </c>
    </row>
    <row r="23" customFormat="false" ht="15" hidden="false" customHeight="true" outlineLevel="0" collapsed="false">
      <c r="A23" s="1" t="s">
        <v>28</v>
      </c>
      <c r="B23" s="1" t="s">
        <v>29</v>
      </c>
    </row>
    <row r="25" customFormat="false" ht="15" hidden="false" customHeight="true" outlineLevel="0" collapsed="false">
      <c r="A25" s="4" t="s">
        <v>30</v>
      </c>
    </row>
    <row r="26" customFormat="false" ht="15" hidden="false" customHeight="true" outlineLevel="0" collapsed="false">
      <c r="B26" s="1" t="s">
        <v>31</v>
      </c>
    </row>
    <row r="27" customFormat="false" ht="15" hidden="false" customHeight="true" outlineLevel="0" collapsed="false">
      <c r="B27" s="1" t="s">
        <v>32</v>
      </c>
    </row>
    <row r="28" customFormat="false" ht="15" hidden="false" customHeight="true" outlineLevel="0" collapsed="false">
      <c r="B28" s="1" t="s">
        <v>33</v>
      </c>
    </row>
    <row r="30" customFormat="false" ht="15" hidden="false" customHeight="true" outlineLevel="0" collapsed="false">
      <c r="A30" s="4" t="s">
        <v>34</v>
      </c>
    </row>
    <row r="31" customFormat="false" ht="15" hidden="false" customHeight="true" outlineLevel="0" collapsed="false">
      <c r="A31" s="1" t="s">
        <v>35</v>
      </c>
      <c r="B31" s="1" t="s">
        <v>36</v>
      </c>
    </row>
    <row r="32" customFormat="false" ht="15" hidden="false" customHeight="true" outlineLevel="0" collapsed="false">
      <c r="A32" s="1" t="s">
        <v>37</v>
      </c>
      <c r="B32" s="1" t="s">
        <v>38</v>
      </c>
    </row>
    <row r="33" customFormat="false" ht="15" hidden="false" customHeight="true" outlineLevel="0" collapsed="false">
      <c r="A33" s="1" t="s">
        <v>39</v>
      </c>
      <c r="B33" s="1" t="s">
        <v>40</v>
      </c>
    </row>
    <row r="34" customFormat="false" ht="15" hidden="false" customHeight="true" outlineLevel="0" collapsed="false">
      <c r="A34" s="1" t="s">
        <v>41</v>
      </c>
      <c r="B34" s="1" t="s">
        <v>42</v>
      </c>
    </row>
    <row r="35" customFormat="false" ht="15" hidden="false" customHeight="true" outlineLevel="0" collapsed="false">
      <c r="A35" s="1" t="s">
        <v>43</v>
      </c>
      <c r="B35" s="1" t="s">
        <v>44</v>
      </c>
    </row>
    <row r="36" customFormat="false" ht="15" hidden="false" customHeight="true" outlineLevel="0" collapsed="false">
      <c r="A36" s="1" t="s">
        <v>45</v>
      </c>
      <c r="B36" s="1" t="s">
        <v>46</v>
      </c>
    </row>
    <row r="37" customFormat="false" ht="15" hidden="false" customHeight="true" outlineLevel="0" collapsed="false">
      <c r="A37" s="1" t="s">
        <v>47</v>
      </c>
      <c r="B37" s="1" t="s">
        <v>48</v>
      </c>
    </row>
    <row r="38" customFormat="false" ht="15" hidden="false" customHeight="true" outlineLevel="0" collapsed="false">
      <c r="A38" s="1" t="s">
        <v>49</v>
      </c>
      <c r="B38" s="1" t="s">
        <v>50</v>
      </c>
    </row>
    <row r="39" customFormat="false" ht="15" hidden="false" customHeight="true" outlineLevel="0" collapsed="false">
      <c r="A39" s="1" t="s">
        <v>51</v>
      </c>
      <c r="B39" s="1" t="s">
        <v>52</v>
      </c>
    </row>
    <row r="40" customFormat="false" ht="15" hidden="false" customHeight="true" outlineLevel="0" collapsed="false">
      <c r="A40" s="1" t="s">
        <v>53</v>
      </c>
      <c r="B40" s="1" t="s">
        <v>54</v>
      </c>
    </row>
    <row r="41" customFormat="false" ht="15" hidden="false" customHeight="true" outlineLevel="0" collapsed="false">
      <c r="A41" s="1" t="s">
        <v>55</v>
      </c>
      <c r="B41" s="1" t="s">
        <v>56</v>
      </c>
    </row>
    <row r="42" customFormat="false" ht="15" hidden="false" customHeight="true" outlineLevel="0" collapsed="false">
      <c r="A42" s="1" t="s">
        <v>57</v>
      </c>
      <c r="B42" s="1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6" min="2" style="1" width="16"/>
    <col collapsed="false" customWidth="true" hidden="false" outlineLevel="0" max="7" min="7" style="1" width="30"/>
  </cols>
  <sheetData>
    <row r="1" customFormat="false" ht="24" hidden="false" customHeight="true" outlineLevel="0" collapsed="false">
      <c r="A1" s="10" t="s">
        <v>59</v>
      </c>
    </row>
    <row r="2" customFormat="false" ht="17.25" hidden="false" customHeight="true" outlineLevel="0" collapsed="false">
      <c r="A2" s="11" t="s">
        <v>60</v>
      </c>
    </row>
    <row r="3" customFormat="false" ht="15" hidden="false" customHeight="true" outlineLevel="0" collapsed="false">
      <c r="A3" s="12" t="s">
        <v>61</v>
      </c>
    </row>
    <row r="4" customFormat="false" ht="15" hidden="false" customHeight="true" outlineLevel="0" collapsed="false">
      <c r="A4" s="13" t="s">
        <v>62</v>
      </c>
    </row>
    <row r="6" customFormat="false" ht="15" hidden="false" customHeight="true" outlineLevel="0" collapsed="false">
      <c r="A6" s="14" t="s">
        <v>63</v>
      </c>
      <c r="B6" s="15"/>
      <c r="C6" s="15"/>
      <c r="D6" s="15"/>
      <c r="E6" s="15"/>
      <c r="F6" s="15"/>
      <c r="G6" s="15"/>
    </row>
    <row r="7" customFormat="false" ht="15" hidden="false" customHeight="true" outlineLevel="0" collapsed="false">
      <c r="A7" s="16" t="s">
        <v>64</v>
      </c>
      <c r="B7" s="17" t="n">
        <v>165</v>
      </c>
      <c r="C7" s="18" t="s">
        <v>65</v>
      </c>
    </row>
    <row r="8" customFormat="false" ht="15" hidden="false" customHeight="true" outlineLevel="0" collapsed="false">
      <c r="A8" s="16" t="s">
        <v>66</v>
      </c>
      <c r="B8" s="17" t="n">
        <v>64</v>
      </c>
      <c r="C8" s="18" t="s">
        <v>65</v>
      </c>
    </row>
    <row r="9" customFormat="false" ht="15" hidden="false" customHeight="true" outlineLevel="0" collapsed="false">
      <c r="A9" s="16" t="s">
        <v>67</v>
      </c>
      <c r="B9" s="17" t="n">
        <v>101</v>
      </c>
      <c r="C9" s="18" t="s">
        <v>65</v>
      </c>
    </row>
    <row r="10" customFormat="false" ht="15" hidden="false" customHeight="true" outlineLevel="0" collapsed="false">
      <c r="A10" s="16" t="s">
        <v>68</v>
      </c>
      <c r="B10" s="17" t="s">
        <v>69</v>
      </c>
      <c r="C10" s="18" t="s">
        <v>70</v>
      </c>
    </row>
    <row r="11" customFormat="false" ht="15" hidden="false" customHeight="true" outlineLevel="0" collapsed="false">
      <c r="A11" s="16" t="s">
        <v>71</v>
      </c>
      <c r="B11" s="17" t="n">
        <v>71</v>
      </c>
      <c r="C11" s="18" t="s">
        <v>72</v>
      </c>
    </row>
    <row r="12" customFormat="false" ht="15" hidden="false" customHeight="true" outlineLevel="0" collapsed="false">
      <c r="A12" s="16" t="s">
        <v>73</v>
      </c>
      <c r="B12" s="17" t="s">
        <v>74</v>
      </c>
      <c r="C12" s="18" t="s">
        <v>65</v>
      </c>
    </row>
    <row r="13" customFormat="false" ht="15" hidden="false" customHeight="true" outlineLevel="0" collapsed="false">
      <c r="A13" s="16" t="s">
        <v>75</v>
      </c>
      <c r="B13" s="17" t="s">
        <v>76</v>
      </c>
      <c r="C13" s="18" t="s">
        <v>77</v>
      </c>
    </row>
    <row r="14" customFormat="false" ht="15" hidden="false" customHeight="true" outlineLevel="0" collapsed="false">
      <c r="A14" s="16" t="s">
        <v>78</v>
      </c>
      <c r="B14" s="17" t="s">
        <v>79</v>
      </c>
      <c r="C14" s="18" t="s">
        <v>80</v>
      </c>
    </row>
    <row r="16" customFormat="false" ht="15" hidden="false" customHeight="true" outlineLevel="0" collapsed="false">
      <c r="A16" s="14" t="s">
        <v>81</v>
      </c>
      <c r="B16" s="15"/>
      <c r="C16" s="15"/>
      <c r="D16" s="15"/>
      <c r="E16" s="15"/>
      <c r="F16" s="15"/>
      <c r="G16" s="15"/>
    </row>
    <row r="17" customFormat="false" ht="15" hidden="false" customHeight="true" outlineLevel="0" collapsed="false">
      <c r="A17" s="19" t="s">
        <v>82</v>
      </c>
      <c r="B17" s="19" t="s">
        <v>83</v>
      </c>
      <c r="C17" s="19" t="s">
        <v>84</v>
      </c>
      <c r="D17" s="19" t="s">
        <v>85</v>
      </c>
      <c r="E17" s="19" t="s">
        <v>86</v>
      </c>
    </row>
    <row r="18" customFormat="false" ht="15" hidden="false" customHeight="true" outlineLevel="0" collapsed="false">
      <c r="A18" s="16" t="s">
        <v>87</v>
      </c>
      <c r="B18" s="20" t="n">
        <v>5</v>
      </c>
      <c r="C18" s="20" t="n">
        <v>13</v>
      </c>
      <c r="D18" s="21" t="n">
        <v>18</v>
      </c>
      <c r="E18" s="22" t="n">
        <v>0.108433734939759</v>
      </c>
    </row>
    <row r="19" customFormat="false" ht="15" hidden="false" customHeight="true" outlineLevel="0" collapsed="false">
      <c r="A19" s="16" t="s">
        <v>88</v>
      </c>
      <c r="B19" s="20" t="n">
        <v>5</v>
      </c>
      <c r="C19" s="20" t="n">
        <v>2</v>
      </c>
      <c r="D19" s="21" t="n">
        <v>7</v>
      </c>
      <c r="E19" s="22" t="n">
        <v>0.0421686746987952</v>
      </c>
    </row>
    <row r="20" customFormat="false" ht="15" hidden="false" customHeight="true" outlineLevel="0" collapsed="false">
      <c r="A20" s="16" t="s">
        <v>89</v>
      </c>
      <c r="B20" s="20" t="n">
        <v>5</v>
      </c>
      <c r="C20" s="20" t="n">
        <v>6</v>
      </c>
      <c r="D20" s="21" t="n">
        <v>11</v>
      </c>
      <c r="E20" s="22" t="n">
        <v>0.0662650602409639</v>
      </c>
    </row>
    <row r="21" customFormat="false" ht="15" hidden="false" customHeight="true" outlineLevel="0" collapsed="false">
      <c r="A21" s="16" t="s">
        <v>90</v>
      </c>
      <c r="B21" s="20" t="n">
        <v>5</v>
      </c>
      <c r="C21" s="20" t="n">
        <v>5</v>
      </c>
      <c r="D21" s="21" t="n">
        <v>10</v>
      </c>
      <c r="E21" s="22" t="n">
        <v>0.0602409638554217</v>
      </c>
    </row>
    <row r="22" customFormat="false" ht="15" hidden="false" customHeight="true" outlineLevel="0" collapsed="false">
      <c r="A22" s="16" t="s">
        <v>91</v>
      </c>
      <c r="B22" s="20" t="n">
        <v>5</v>
      </c>
      <c r="C22" s="20" t="n">
        <v>17</v>
      </c>
      <c r="D22" s="21" t="n">
        <v>22</v>
      </c>
      <c r="E22" s="22" t="n">
        <v>0.132530120481928</v>
      </c>
    </row>
    <row r="23" customFormat="false" ht="15" hidden="false" customHeight="true" outlineLevel="0" collapsed="false">
      <c r="A23" s="16" t="s">
        <v>92</v>
      </c>
      <c r="B23" s="20" t="n">
        <v>39</v>
      </c>
      <c r="C23" s="20" t="n">
        <v>59</v>
      </c>
      <c r="D23" s="21" t="n">
        <v>98</v>
      </c>
      <c r="E23" s="22" t="n">
        <v>0.590361445783133</v>
      </c>
    </row>
    <row r="24" customFormat="false" ht="15" hidden="false" customHeight="true" outlineLevel="0" collapsed="false">
      <c r="A24" s="23" t="s">
        <v>85</v>
      </c>
      <c r="B24" s="23" t="n">
        <v>64</v>
      </c>
      <c r="C24" s="23" t="n">
        <v>102</v>
      </c>
      <c r="D24" s="23" t="n">
        <v>166</v>
      </c>
      <c r="E24" s="24"/>
    </row>
    <row r="26" customFormat="false" ht="15" hidden="false" customHeight="true" outlineLevel="0" collapsed="false">
      <c r="A26" s="25" t="s">
        <v>93</v>
      </c>
    </row>
    <row r="28" customFormat="false" ht="15" hidden="false" customHeight="true" outlineLevel="0" collapsed="false">
      <c r="A28" s="14" t="s">
        <v>94</v>
      </c>
      <c r="B28" s="15"/>
      <c r="C28" s="15"/>
      <c r="D28" s="15"/>
      <c r="E28" s="15"/>
      <c r="F28" s="15"/>
      <c r="G28" s="15"/>
    </row>
    <row r="29" customFormat="false" ht="15" hidden="false" customHeight="true" outlineLevel="0" collapsed="false">
      <c r="A29" s="26" t="s">
        <v>95</v>
      </c>
      <c r="B29" s="8" t="s">
        <v>96</v>
      </c>
    </row>
    <row r="30" customFormat="false" ht="15" hidden="false" customHeight="true" outlineLevel="0" collapsed="false">
      <c r="A30" s="26" t="s">
        <v>97</v>
      </c>
      <c r="B30" s="27" t="s">
        <v>98</v>
      </c>
    </row>
    <row r="31" customFormat="false" ht="15" hidden="false" customHeight="true" outlineLevel="0" collapsed="false">
      <c r="A31" s="26" t="s">
        <v>99</v>
      </c>
      <c r="B31" s="8" t="s">
        <v>100</v>
      </c>
    </row>
    <row r="32" customFormat="false" ht="15" hidden="false" customHeight="true" outlineLevel="0" collapsed="false">
      <c r="A32" s="26" t="s">
        <v>101</v>
      </c>
      <c r="B32" s="8" t="s">
        <v>102</v>
      </c>
    </row>
    <row r="33" customFormat="false" ht="15" hidden="false" customHeight="true" outlineLevel="0" collapsed="false">
      <c r="A33" s="26" t="s">
        <v>103</v>
      </c>
      <c r="B33" s="27" t="s">
        <v>104</v>
      </c>
    </row>
    <row r="35" customFormat="false" ht="15" hidden="false" customHeight="true" outlineLevel="0" collapsed="false">
      <c r="A35" s="28" t="s">
        <v>105</v>
      </c>
    </row>
    <row r="36" customFormat="false" ht="15" hidden="false" customHeight="true" outlineLevel="0" collapsed="false">
      <c r="A36" s="19" t="s">
        <v>106</v>
      </c>
      <c r="B36" s="19" t="s">
        <v>107</v>
      </c>
      <c r="C36" s="19" t="s">
        <v>108</v>
      </c>
    </row>
    <row r="37" customFormat="false" ht="15" hidden="false" customHeight="true" outlineLevel="0" collapsed="false">
      <c r="A37" s="26" t="s">
        <v>109</v>
      </c>
      <c r="B37" s="20" t="n">
        <v>46</v>
      </c>
      <c r="C37" s="22" t="n">
        <v>0.647887323943662</v>
      </c>
    </row>
    <row r="38" customFormat="false" ht="15" hidden="false" customHeight="true" outlineLevel="0" collapsed="false">
      <c r="A38" s="26" t="s">
        <v>110</v>
      </c>
      <c r="B38" s="20" t="n">
        <v>19</v>
      </c>
      <c r="C38" s="22" t="n">
        <v>0.267605633802817</v>
      </c>
    </row>
    <row r="39" customFormat="false" ht="15" hidden="false" customHeight="true" outlineLevel="0" collapsed="false">
      <c r="A39" s="26" t="s">
        <v>111</v>
      </c>
      <c r="B39" s="20" t="n">
        <v>6</v>
      </c>
      <c r="C39" s="22" t="n">
        <v>0.0845070422535211</v>
      </c>
    </row>
    <row r="41" customFormat="false" ht="15" hidden="false" customHeight="true" outlineLevel="0" collapsed="false">
      <c r="A41" s="25" t="s">
        <v>112</v>
      </c>
    </row>
    <row r="43" customFormat="false" ht="15" hidden="false" customHeight="true" outlineLevel="0" collapsed="false">
      <c r="A43" s="14" t="s">
        <v>113</v>
      </c>
      <c r="B43" s="15"/>
      <c r="C43" s="15"/>
      <c r="D43" s="15"/>
      <c r="E43" s="15"/>
      <c r="F43" s="15"/>
      <c r="G43" s="15"/>
    </row>
    <row r="44" customFormat="false" ht="15" hidden="false" customHeight="true" outlineLevel="0" collapsed="false">
      <c r="A44" s="26" t="s">
        <v>75</v>
      </c>
      <c r="B44" s="27" t="s">
        <v>76</v>
      </c>
    </row>
    <row r="45" customFormat="false" ht="15" hidden="false" customHeight="true" outlineLevel="0" collapsed="false">
      <c r="A45" s="26" t="s">
        <v>114</v>
      </c>
      <c r="B45" s="26" t="s">
        <v>115</v>
      </c>
    </row>
    <row r="46" customFormat="false" ht="15" hidden="false" customHeight="true" outlineLevel="0" collapsed="false">
      <c r="A46" s="26" t="s">
        <v>116</v>
      </c>
      <c r="B46" s="26" t="s">
        <v>117</v>
      </c>
    </row>
    <row r="48" customFormat="false" ht="15" hidden="false" customHeight="true" outlineLevel="0" collapsed="false">
      <c r="A48" s="28" t="s">
        <v>118</v>
      </c>
    </row>
    <row r="49" customFormat="false" ht="27.75" hidden="false" customHeight="true" outlineLevel="0" collapsed="false">
      <c r="A49" s="19" t="s">
        <v>119</v>
      </c>
      <c r="B49" s="19" t="s">
        <v>120</v>
      </c>
      <c r="C49" s="19" t="s">
        <v>121</v>
      </c>
    </row>
    <row r="50" customFormat="false" ht="15" hidden="false" customHeight="true" outlineLevel="0" collapsed="false">
      <c r="A50" s="26" t="s">
        <v>122</v>
      </c>
      <c r="B50" s="20" t="n">
        <v>14</v>
      </c>
      <c r="C50" s="20" t="n">
        <v>3.94</v>
      </c>
    </row>
    <row r="51" customFormat="false" ht="15" hidden="false" customHeight="true" outlineLevel="0" collapsed="false">
      <c r="A51" s="26" t="s">
        <v>123</v>
      </c>
      <c r="B51" s="20" t="n">
        <v>42</v>
      </c>
      <c r="C51" s="20" t="n">
        <v>3.7</v>
      </c>
    </row>
    <row r="52" customFormat="false" ht="15" hidden="false" customHeight="true" outlineLevel="0" collapsed="false">
      <c r="A52" s="26" t="s">
        <v>124</v>
      </c>
      <c r="B52" s="20" t="n">
        <v>26</v>
      </c>
      <c r="C52" s="20" t="n">
        <v>3.55</v>
      </c>
    </row>
    <row r="53" customFormat="false" ht="15" hidden="false" customHeight="true" outlineLevel="0" collapsed="false">
      <c r="A53" s="26" t="s">
        <v>125</v>
      </c>
      <c r="B53" s="20" t="n">
        <v>5</v>
      </c>
      <c r="C53" s="20" t="n">
        <v>3.35</v>
      </c>
    </row>
    <row r="55" customFormat="false" ht="15" hidden="false" customHeight="true" outlineLevel="0" collapsed="false">
      <c r="A55" s="25" t="s">
        <v>126</v>
      </c>
    </row>
    <row r="56" customFormat="false" ht="15" hidden="false" customHeight="true" outlineLevel="0" collapsed="false">
      <c r="A56" s="25" t="s">
        <v>127</v>
      </c>
    </row>
    <row r="58" customFormat="false" ht="15" hidden="false" customHeight="true" outlineLevel="0" collapsed="false">
      <c r="A58" s="14" t="s">
        <v>128</v>
      </c>
      <c r="B58" s="15"/>
      <c r="C58" s="15"/>
      <c r="D58" s="15"/>
      <c r="E58" s="15"/>
      <c r="F58" s="15"/>
      <c r="G58" s="15"/>
    </row>
    <row r="59" customFormat="false" ht="15" hidden="false" customHeight="true" outlineLevel="0" collapsed="false">
      <c r="A59" s="19" t="s">
        <v>129</v>
      </c>
      <c r="B59" s="19" t="s">
        <v>130</v>
      </c>
      <c r="C59" s="19" t="s">
        <v>131</v>
      </c>
    </row>
    <row r="60" customFormat="false" ht="15" hidden="false" customHeight="true" outlineLevel="0" collapsed="false">
      <c r="A60" s="26" t="s">
        <v>15</v>
      </c>
      <c r="B60" s="20" t="n">
        <v>57</v>
      </c>
      <c r="C60" s="20" t="s">
        <v>5</v>
      </c>
    </row>
    <row r="61" customFormat="false" ht="15" hidden="false" customHeight="true" outlineLevel="0" collapsed="false">
      <c r="A61" s="26" t="s">
        <v>16</v>
      </c>
      <c r="B61" s="20" t="n">
        <v>29</v>
      </c>
      <c r="C61" s="20" t="s">
        <v>17</v>
      </c>
    </row>
    <row r="62" customFormat="false" ht="15" hidden="false" customHeight="true" outlineLevel="0" collapsed="false">
      <c r="A62" s="26" t="s">
        <v>18</v>
      </c>
      <c r="B62" s="20" t="n">
        <v>15</v>
      </c>
      <c r="C62" s="20" t="s">
        <v>3</v>
      </c>
    </row>
    <row r="63" customFormat="false" ht="15" hidden="false" customHeight="true" outlineLevel="0" collapsed="false">
      <c r="A63" s="26" t="s">
        <v>132</v>
      </c>
      <c r="B63" s="20" t="n">
        <v>1</v>
      </c>
      <c r="C63" s="20" t="s">
        <v>20</v>
      </c>
    </row>
    <row r="65" customFormat="false" ht="15" hidden="false" customHeight="true" outlineLevel="0" collapsed="false">
      <c r="A65" s="25" t="s">
        <v>133</v>
      </c>
    </row>
    <row r="67" customFormat="false" ht="15" hidden="false" customHeight="true" outlineLevel="0" collapsed="false">
      <c r="A67" s="14" t="s">
        <v>134</v>
      </c>
      <c r="B67" s="15"/>
      <c r="C67" s="15"/>
      <c r="D67" s="15"/>
      <c r="E67" s="15"/>
      <c r="F67" s="15"/>
      <c r="G67" s="15"/>
    </row>
    <row r="68" customFormat="false" ht="27.75" hidden="false" customHeight="true" outlineLevel="0" collapsed="false">
      <c r="A68" s="19" t="s">
        <v>135</v>
      </c>
      <c r="B68" s="19" t="s">
        <v>136</v>
      </c>
    </row>
    <row r="69" customFormat="false" ht="15" hidden="false" customHeight="true" outlineLevel="0" collapsed="false">
      <c r="A69" s="26" t="s">
        <v>137</v>
      </c>
      <c r="B69" s="20" t="n">
        <v>7</v>
      </c>
    </row>
    <row r="70" customFormat="false" ht="15" hidden="false" customHeight="true" outlineLevel="0" collapsed="false">
      <c r="A70" s="26" t="s">
        <v>138</v>
      </c>
      <c r="B70" s="20" t="n">
        <v>10</v>
      </c>
    </row>
    <row r="71" customFormat="false" ht="15" hidden="false" customHeight="true" outlineLevel="0" collapsed="false">
      <c r="A71" s="26" t="s">
        <v>139</v>
      </c>
      <c r="B71" s="20" t="n">
        <v>22</v>
      </c>
    </row>
    <row r="72" customFormat="false" ht="15" hidden="false" customHeight="true" outlineLevel="0" collapsed="false">
      <c r="A72" s="26" t="s">
        <v>140</v>
      </c>
      <c r="B72" s="20" t="n">
        <v>19</v>
      </c>
    </row>
    <row r="73" customFormat="false" ht="15" hidden="false" customHeight="true" outlineLevel="0" collapsed="false">
      <c r="A73" s="26" t="s">
        <v>141</v>
      </c>
      <c r="B73" s="20" t="n">
        <v>1</v>
      </c>
    </row>
    <row r="74" customFormat="false" ht="15" hidden="false" customHeight="true" outlineLevel="0" collapsed="false">
      <c r="A74" s="26" t="s">
        <v>142</v>
      </c>
      <c r="B74" s="20" t="n">
        <v>14</v>
      </c>
    </row>
    <row r="75" customFormat="false" ht="15" hidden="false" customHeight="true" outlineLevel="0" collapsed="false">
      <c r="A75" s="26" t="s">
        <v>143</v>
      </c>
      <c r="B75" s="20" t="n">
        <v>21</v>
      </c>
    </row>
    <row r="76" customFormat="false" ht="15" hidden="false" customHeight="true" outlineLevel="0" collapsed="false">
      <c r="A76" s="26" t="s">
        <v>144</v>
      </c>
      <c r="B76" s="20" t="n">
        <v>7</v>
      </c>
    </row>
    <row r="77" customFormat="false" ht="15" hidden="false" customHeight="true" outlineLevel="0" collapsed="false">
      <c r="A77" s="26" t="s">
        <v>145</v>
      </c>
      <c r="B77" s="20" t="n">
        <v>1</v>
      </c>
    </row>
    <row r="80" customFormat="false" ht="15" hidden="false" customHeight="true" outlineLevel="0" collapsed="false">
      <c r="A80" s="14" t="s">
        <v>146</v>
      </c>
      <c r="B80" s="15"/>
      <c r="C80" s="15"/>
      <c r="D80" s="15"/>
      <c r="E80" s="15"/>
      <c r="F80" s="15"/>
      <c r="G80" s="15"/>
    </row>
    <row r="81" customFormat="false" ht="15" hidden="false" customHeight="true" outlineLevel="0" collapsed="false">
      <c r="A81" s="19" t="s">
        <v>147</v>
      </c>
      <c r="B81" s="19" t="s">
        <v>130</v>
      </c>
    </row>
    <row r="82" customFormat="false" ht="15" hidden="false" customHeight="true" outlineLevel="0" collapsed="false">
      <c r="A82" s="26" t="s">
        <v>148</v>
      </c>
      <c r="B82" s="20" t="n">
        <v>34</v>
      </c>
    </row>
    <row r="83" customFormat="false" ht="15" hidden="false" customHeight="true" outlineLevel="0" collapsed="false">
      <c r="A83" s="26" t="s">
        <v>149</v>
      </c>
      <c r="B83" s="20" t="n">
        <v>10</v>
      </c>
    </row>
    <row r="84" customFormat="false" ht="15" hidden="false" customHeight="true" outlineLevel="0" collapsed="false">
      <c r="A84" s="26" t="s">
        <v>150</v>
      </c>
      <c r="B84" s="20" t="n">
        <v>28</v>
      </c>
    </row>
    <row r="85" customFormat="false" ht="15" hidden="false" customHeight="true" outlineLevel="0" collapsed="false">
      <c r="A85" s="26" t="s">
        <v>151</v>
      </c>
      <c r="B85" s="20" t="n">
        <v>18</v>
      </c>
    </row>
    <row r="86" customFormat="false" ht="15" hidden="false" customHeight="true" outlineLevel="0" collapsed="false">
      <c r="A86" s="26" t="s">
        <v>152</v>
      </c>
      <c r="B86" s="20" t="n">
        <v>12</v>
      </c>
    </row>
    <row r="87" customFormat="false" ht="15" hidden="false" customHeight="true" outlineLevel="0" collapsed="false">
      <c r="A87" s="26" t="s">
        <v>153</v>
      </c>
      <c r="B87" s="20" t="n">
        <v>0</v>
      </c>
    </row>
    <row r="89" customFormat="false" ht="15" hidden="false" customHeight="true" outlineLevel="0" collapsed="false">
      <c r="A89" s="25" t="s">
        <v>154</v>
      </c>
    </row>
    <row r="90" customFormat="false" ht="15" hidden="false" customHeight="true" outlineLevel="0" collapsed="false">
      <c r="A90" s="25" t="s">
        <v>155</v>
      </c>
    </row>
    <row r="92" customFormat="false" ht="15" hidden="false" customHeight="true" outlineLevel="0" collapsed="false">
      <c r="A92" s="14" t="s">
        <v>156</v>
      </c>
      <c r="B92" s="15"/>
      <c r="C92" s="15"/>
      <c r="D92" s="15"/>
      <c r="E92" s="15"/>
      <c r="F92" s="15"/>
      <c r="G92" s="15"/>
    </row>
    <row r="93" customFormat="false" ht="15" hidden="false" customHeight="true" outlineLevel="0" collapsed="false">
      <c r="A93" s="26" t="s">
        <v>157</v>
      </c>
      <c r="B93" s="29" t="n">
        <v>152500000</v>
      </c>
    </row>
    <row r="94" customFormat="false" ht="15" hidden="false" customHeight="true" outlineLevel="0" collapsed="false">
      <c r="A94" s="26" t="s">
        <v>158</v>
      </c>
      <c r="B94" s="30" t="n">
        <v>188500000</v>
      </c>
    </row>
    <row r="95" customFormat="false" ht="15" hidden="false" customHeight="true" outlineLevel="0" collapsed="false">
      <c r="A95" s="26" t="s">
        <v>159</v>
      </c>
      <c r="B95" s="30" t="n">
        <v>109250000</v>
      </c>
    </row>
    <row r="96" customFormat="false" ht="15" hidden="false" customHeight="true" outlineLevel="0" collapsed="false">
      <c r="A96" s="26" t="s">
        <v>160</v>
      </c>
      <c r="B96" s="31" t="n">
        <v>450250000</v>
      </c>
    </row>
    <row r="98" customFormat="false" ht="15" hidden="false" customHeight="true" outlineLevel="0" collapsed="false">
      <c r="A98" s="26" t="s">
        <v>161</v>
      </c>
      <c r="B98" s="27" t="s">
        <v>162</v>
      </c>
    </row>
    <row r="99" customFormat="false" ht="15" hidden="false" customHeight="true" outlineLevel="0" collapsed="false">
      <c r="C99" s="25" t="s">
        <v>163</v>
      </c>
    </row>
    <row r="101" customFormat="false" ht="15" hidden="false" customHeight="true" outlineLevel="0" collapsed="false">
      <c r="A101" s="14" t="s">
        <v>164</v>
      </c>
      <c r="B101" s="15"/>
      <c r="C101" s="15"/>
      <c r="D101" s="15"/>
      <c r="E101" s="15"/>
      <c r="F101" s="15"/>
      <c r="G101" s="15"/>
    </row>
    <row r="102" customFormat="false" ht="15" hidden="false" customHeight="true" outlineLevel="0" collapsed="false">
      <c r="A102" s="19" t="s">
        <v>165</v>
      </c>
      <c r="B102" s="19" t="s">
        <v>166</v>
      </c>
      <c r="C102" s="19" t="s">
        <v>167</v>
      </c>
      <c r="D102" s="19" t="s">
        <v>168</v>
      </c>
      <c r="E102" s="19" t="s">
        <v>169</v>
      </c>
    </row>
    <row r="103" customFormat="false" ht="15" hidden="false" customHeight="true" outlineLevel="0" collapsed="false">
      <c r="A103" s="24" t="n">
        <v>1</v>
      </c>
      <c r="B103" s="32" t="s">
        <v>170</v>
      </c>
      <c r="C103" s="32" t="s">
        <v>91</v>
      </c>
      <c r="D103" s="32" t="s">
        <v>124</v>
      </c>
      <c r="E103" s="24" t="n">
        <v>7</v>
      </c>
    </row>
    <row r="104" customFormat="false" ht="15" hidden="false" customHeight="true" outlineLevel="0" collapsed="false">
      <c r="A104" s="24" t="n">
        <v>2</v>
      </c>
      <c r="B104" s="32" t="s">
        <v>171</v>
      </c>
      <c r="C104" s="32" t="s">
        <v>92</v>
      </c>
      <c r="D104" s="32" t="s">
        <v>123</v>
      </c>
      <c r="E104" s="24" t="n">
        <v>6</v>
      </c>
    </row>
    <row r="105" customFormat="false" ht="15" hidden="false" customHeight="true" outlineLevel="0" collapsed="false">
      <c r="A105" s="24" t="n">
        <v>3</v>
      </c>
      <c r="B105" s="32" t="s">
        <v>172</v>
      </c>
      <c r="C105" s="32" t="s">
        <v>87</v>
      </c>
      <c r="D105" s="32" t="s">
        <v>124</v>
      </c>
      <c r="E105" s="24" t="n">
        <v>4</v>
      </c>
    </row>
    <row r="106" customFormat="false" ht="15" hidden="false" customHeight="true" outlineLevel="0" collapsed="false">
      <c r="A106" s="20" t="n">
        <v>4</v>
      </c>
      <c r="B106" s="26" t="s">
        <v>173</v>
      </c>
      <c r="C106" s="26" t="s">
        <v>91</v>
      </c>
      <c r="D106" s="26" t="s">
        <v>124</v>
      </c>
      <c r="E106" s="20" t="n">
        <v>4</v>
      </c>
    </row>
    <row r="107" customFormat="false" ht="15" hidden="false" customHeight="true" outlineLevel="0" collapsed="false">
      <c r="A107" s="20" t="n">
        <v>5</v>
      </c>
      <c r="B107" s="26" t="s">
        <v>174</v>
      </c>
      <c r="C107" s="26" t="s">
        <v>92</v>
      </c>
      <c r="D107" s="26" t="s">
        <v>123</v>
      </c>
      <c r="E107" s="20" t="n">
        <v>4</v>
      </c>
    </row>
    <row r="108" customFormat="false" ht="15" hidden="false" customHeight="true" outlineLevel="0" collapsed="false">
      <c r="A108" s="20" t="n">
        <v>6</v>
      </c>
      <c r="B108" s="26" t="s">
        <v>175</v>
      </c>
      <c r="C108" s="26" t="s">
        <v>87</v>
      </c>
      <c r="D108" s="26" t="s">
        <v>124</v>
      </c>
      <c r="E108" s="20" t="n">
        <v>3</v>
      </c>
    </row>
    <row r="109" customFormat="false" ht="15" hidden="false" customHeight="true" outlineLevel="0" collapsed="false">
      <c r="A109" s="20" t="n">
        <v>7</v>
      </c>
      <c r="B109" s="26" t="s">
        <v>176</v>
      </c>
      <c r="C109" s="26" t="s">
        <v>92</v>
      </c>
      <c r="D109" s="26" t="s">
        <v>123</v>
      </c>
      <c r="E109" s="20" t="n">
        <v>3</v>
      </c>
    </row>
    <row r="110" customFormat="false" ht="15" hidden="false" customHeight="true" outlineLevel="0" collapsed="false">
      <c r="A110" s="20" t="n">
        <v>8</v>
      </c>
      <c r="B110" s="26" t="s">
        <v>177</v>
      </c>
      <c r="C110" s="26" t="s">
        <v>87</v>
      </c>
      <c r="D110" s="26" t="s">
        <v>124</v>
      </c>
      <c r="E110" s="20" t="n">
        <v>3</v>
      </c>
    </row>
    <row r="111" customFormat="false" ht="15" hidden="false" customHeight="true" outlineLevel="0" collapsed="false">
      <c r="A111" s="20" t="n">
        <v>9</v>
      </c>
      <c r="B111" s="26" t="s">
        <v>178</v>
      </c>
      <c r="C111" s="26" t="s">
        <v>91</v>
      </c>
      <c r="D111" s="26" t="s">
        <v>124</v>
      </c>
      <c r="E111" s="20" t="n">
        <v>3</v>
      </c>
    </row>
    <row r="112" customFormat="false" ht="15" hidden="false" customHeight="true" outlineLevel="0" collapsed="false">
      <c r="A112" s="20" t="n">
        <v>10</v>
      </c>
      <c r="B112" s="26" t="s">
        <v>179</v>
      </c>
      <c r="C112" s="26" t="s">
        <v>92</v>
      </c>
      <c r="D112" s="26" t="s">
        <v>124</v>
      </c>
      <c r="E112" s="20" t="n">
        <v>3</v>
      </c>
    </row>
    <row r="115" customFormat="false" ht="15" hidden="false" customHeight="true" outlineLevel="0" collapsed="false">
      <c r="A115" s="14" t="s">
        <v>180</v>
      </c>
      <c r="B115" s="15"/>
      <c r="C115" s="15"/>
      <c r="D115" s="15"/>
      <c r="E115" s="15"/>
      <c r="F115" s="15"/>
      <c r="G115" s="15"/>
    </row>
    <row r="116" customFormat="false" ht="30" hidden="false" customHeight="true" outlineLevel="0" collapsed="false">
      <c r="A116" s="33" t="s">
        <v>181</v>
      </c>
      <c r="B116" s="33"/>
      <c r="C116" s="33"/>
      <c r="D116" s="33"/>
      <c r="E116" s="33"/>
      <c r="F116" s="33"/>
      <c r="G116" s="33"/>
    </row>
    <row r="117" customFormat="false" ht="30" hidden="false" customHeight="true" outlineLevel="0" collapsed="false">
      <c r="A117" s="33" t="s">
        <v>182</v>
      </c>
      <c r="B117" s="33"/>
      <c r="C117" s="33"/>
      <c r="D117" s="33"/>
      <c r="E117" s="33"/>
      <c r="F117" s="33"/>
      <c r="G117" s="33"/>
    </row>
    <row r="118" customFormat="false" ht="30" hidden="false" customHeight="true" outlineLevel="0" collapsed="false">
      <c r="A118" s="33" t="s">
        <v>183</v>
      </c>
      <c r="B118" s="33"/>
      <c r="C118" s="33"/>
      <c r="D118" s="33"/>
      <c r="E118" s="33"/>
      <c r="F118" s="33"/>
      <c r="G118" s="33"/>
    </row>
    <row r="119" customFormat="false" ht="30" hidden="false" customHeight="true" outlineLevel="0" collapsed="false">
      <c r="A119" s="33" t="s">
        <v>184</v>
      </c>
      <c r="B119" s="33"/>
      <c r="C119" s="33"/>
      <c r="D119" s="33"/>
      <c r="E119" s="33"/>
      <c r="F119" s="33"/>
      <c r="G119" s="33"/>
    </row>
    <row r="120" customFormat="false" ht="30" hidden="false" customHeight="true" outlineLevel="0" collapsed="false">
      <c r="A120" s="33" t="s">
        <v>185</v>
      </c>
      <c r="B120" s="33"/>
      <c r="C120" s="33"/>
      <c r="D120" s="33"/>
      <c r="E120" s="33"/>
      <c r="F120" s="33"/>
      <c r="G120" s="33"/>
    </row>
    <row r="121" customFormat="false" ht="30" hidden="false" customHeight="true" outlineLevel="0" collapsed="false">
      <c r="A121" s="33" t="s">
        <v>186</v>
      </c>
      <c r="B121" s="33"/>
      <c r="C121" s="33"/>
      <c r="D121" s="33"/>
      <c r="E121" s="33"/>
      <c r="F121" s="33"/>
      <c r="G121" s="33"/>
    </row>
    <row r="123" customFormat="false" ht="15" hidden="false" customHeight="true" outlineLevel="0" collapsed="false">
      <c r="A123" s="13" t="s">
        <v>187</v>
      </c>
    </row>
  </sheetData>
  <mergeCells count="6">
    <mergeCell ref="A116:G116"/>
    <mergeCell ref="A117:G117"/>
    <mergeCell ref="A118:G118"/>
    <mergeCell ref="A119:G119"/>
    <mergeCell ref="A120:G120"/>
    <mergeCell ref="A121:G1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3" topLeftCell="A2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7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20"/>
  </cols>
  <sheetData>
    <row r="1" customFormat="false" ht="19.5" hidden="false" customHeight="true" outlineLevel="0" collapsed="false">
      <c r="A1" s="2" t="s">
        <v>188</v>
      </c>
    </row>
    <row r="3" customFormat="false" ht="15" hidden="false" customHeight="true" outlineLevel="0" collapsed="false">
      <c r="A3" s="34" t="s">
        <v>189</v>
      </c>
    </row>
    <row r="4" customFormat="false" ht="15" hidden="false" customHeight="true" outlineLevel="0" collapsed="false">
      <c r="A4" s="35" t="s">
        <v>82</v>
      </c>
      <c r="B4" s="35" t="s">
        <v>83</v>
      </c>
      <c r="C4" s="35" t="s">
        <v>84</v>
      </c>
      <c r="D4" s="35" t="s">
        <v>190</v>
      </c>
      <c r="E4" s="35" t="s">
        <v>191</v>
      </c>
      <c r="F4" s="35" t="s">
        <v>192</v>
      </c>
    </row>
    <row r="5" customFormat="false" ht="15" hidden="false" customHeight="true" outlineLevel="0" collapsed="false">
      <c r="A5" s="16" t="s">
        <v>87</v>
      </c>
      <c r="B5" s="8" t="n">
        <f aca="false">COUNTIF(INDUKAN!$E$6:$E$69,$A5)</f>
        <v>5</v>
      </c>
      <c r="C5" s="8" t="n">
        <f aca="false">COUNTIF(ANAKAN!$V$6:$V$107,$A5)</f>
        <v>13</v>
      </c>
      <c r="D5" s="8" t="n">
        <f aca="false">COUNTIFS(ANAKAN!$V$6:$V$107,$A5,ANAKAN!$N$6:$N$107,"Hidup")</f>
        <v>13</v>
      </c>
      <c r="E5" s="8" t="n">
        <f aca="false">COUNTIFS(ANAKAN!$V$6:$V$107,$A5,ANAKAN!$N$6:$N$107,"Mati")</f>
        <v>0</v>
      </c>
      <c r="F5" s="30" t="n">
        <f aca="false">SUMIF(INDUKAN!$E$6:$E$69,$A5,INDUKAN!$M$6:$M$69)</f>
        <v>27500000</v>
      </c>
    </row>
    <row r="6" customFormat="false" ht="15" hidden="false" customHeight="true" outlineLevel="0" collapsed="false">
      <c r="A6" s="16" t="s">
        <v>88</v>
      </c>
      <c r="B6" s="8" t="n">
        <f aca="false">COUNTIF(INDUKAN!$E$6:$E$69,$A6)</f>
        <v>5</v>
      </c>
      <c r="C6" s="8" t="n">
        <f aca="false">COUNTIF(ANAKAN!$V$6:$V$107,$A6)</f>
        <v>2</v>
      </c>
      <c r="D6" s="8" t="n">
        <f aca="false">COUNTIFS(ANAKAN!$V$6:$V$107,$A6,ANAKAN!$N$6:$N$107,"Hidup")</f>
        <v>2</v>
      </c>
      <c r="E6" s="8" t="n">
        <f aca="false">COUNTIFS(ANAKAN!$V$6:$V$107,$A6,ANAKAN!$N$6:$N$107,"Mati")</f>
        <v>0</v>
      </c>
      <c r="F6" s="30" t="n">
        <f aca="false">SUMIF(INDUKAN!$E$6:$E$69,$A6,INDUKAN!$M$6:$M$69)</f>
        <v>32500000</v>
      </c>
    </row>
    <row r="7" customFormat="false" ht="15" hidden="false" customHeight="true" outlineLevel="0" collapsed="false">
      <c r="A7" s="16" t="s">
        <v>89</v>
      </c>
      <c r="B7" s="8" t="n">
        <f aca="false">COUNTIF(INDUKAN!$E$6:$E$69,$A7)</f>
        <v>5</v>
      </c>
      <c r="C7" s="8" t="n">
        <f aca="false">COUNTIF(ANAKAN!$V$6:$V$107,$A7)</f>
        <v>6</v>
      </c>
      <c r="D7" s="8" t="n">
        <f aca="false">COUNTIFS(ANAKAN!$V$6:$V$107,$A7,ANAKAN!$N$6:$N$107,"Hidup")</f>
        <v>6</v>
      </c>
      <c r="E7" s="8" t="n">
        <f aca="false">COUNTIFS(ANAKAN!$V$6:$V$107,$A7,ANAKAN!$N$6:$N$107,"Mati")</f>
        <v>0</v>
      </c>
      <c r="F7" s="30" t="n">
        <f aca="false">SUMIF(INDUKAN!$E$6:$E$69,$A7,INDUKAN!$M$6:$M$69)</f>
        <v>32500000</v>
      </c>
    </row>
    <row r="8" customFormat="false" ht="15" hidden="false" customHeight="true" outlineLevel="0" collapsed="false">
      <c r="A8" s="16" t="s">
        <v>90</v>
      </c>
      <c r="B8" s="8" t="n">
        <f aca="false">COUNTIF(INDUKAN!$E$6:$E$69,$A8)</f>
        <v>5</v>
      </c>
      <c r="C8" s="8" t="n">
        <f aca="false">COUNTIF(ANAKAN!$V$6:$V$107,$A8)</f>
        <v>5</v>
      </c>
      <c r="D8" s="8" t="n">
        <f aca="false">COUNTIFS(ANAKAN!$V$6:$V$107,$A8,ANAKAN!$N$6:$N$107,"Hidup")</f>
        <v>5</v>
      </c>
      <c r="E8" s="8" t="n">
        <f aca="false">COUNTIFS(ANAKAN!$V$6:$V$107,$A8,ANAKAN!$N$6:$N$107,"Mati")</f>
        <v>0</v>
      </c>
      <c r="F8" s="30" t="n">
        <f aca="false">SUMIF(INDUKAN!$E$6:$E$69,$A8,INDUKAN!$M$6:$M$69)</f>
        <v>32500000</v>
      </c>
    </row>
    <row r="9" customFormat="false" ht="15" hidden="false" customHeight="true" outlineLevel="0" collapsed="false">
      <c r="A9" s="16" t="s">
        <v>91</v>
      </c>
      <c r="B9" s="8" t="n">
        <f aca="false">COUNTIF(INDUKAN!$E$6:$E$69,$A9)</f>
        <v>5</v>
      </c>
      <c r="C9" s="8" t="n">
        <f aca="false">COUNTIF(ANAKAN!$V$6:$V$107,$A9)</f>
        <v>17</v>
      </c>
      <c r="D9" s="8" t="n">
        <f aca="false">COUNTIFS(ANAKAN!$V$6:$V$107,$A9,ANAKAN!$N$6:$N$107,"Hidup")</f>
        <v>16</v>
      </c>
      <c r="E9" s="8" t="n">
        <f aca="false">COUNTIFS(ANAKAN!$V$6:$V$107,$A9,ANAKAN!$N$6:$N$107,"Mati")</f>
        <v>1</v>
      </c>
      <c r="F9" s="30" t="n">
        <f aca="false">SUMIF(INDUKAN!$E$6:$E$69,$A9,INDUKAN!$M$6:$M$69)</f>
        <v>27500000</v>
      </c>
    </row>
    <row r="10" customFormat="false" ht="15" hidden="false" customHeight="true" outlineLevel="0" collapsed="false">
      <c r="A10" s="16" t="s">
        <v>92</v>
      </c>
      <c r="B10" s="8" t="n">
        <f aca="false">COUNTIF(INDUKAN!$E$6:$E$69,$A10)</f>
        <v>39</v>
      </c>
      <c r="C10" s="8" t="n">
        <f aca="false">COUNTIF(ANAKAN!$V$6:$V$107,$A10)</f>
        <v>59</v>
      </c>
      <c r="D10" s="8" t="n">
        <f aca="false">COUNTIFS(ANAKAN!$V$6:$V$107,$A10,ANAKAN!$N$6:$N$107,"Hidup")</f>
        <v>59</v>
      </c>
      <c r="E10" s="8" t="n">
        <f aca="false">COUNTIFS(ANAKAN!$V$6:$V$107,$A10,ANAKAN!$N$6:$N$107,"Mati")</f>
        <v>0</v>
      </c>
      <c r="F10" s="30" t="n">
        <f aca="false">SUMIF(INDUKAN!$E$6:$E$69,$A10,INDUKAN!$M$6:$M$69)</f>
        <v>188500000</v>
      </c>
    </row>
    <row r="11" customFormat="false" ht="15" hidden="false" customHeight="true" outlineLevel="0" collapsed="false">
      <c r="A11" s="28" t="s">
        <v>85</v>
      </c>
      <c r="B11" s="27" t="n">
        <f aca="false">SUM(B5:B10)</f>
        <v>64</v>
      </c>
      <c r="C11" s="27" t="n">
        <f aca="false">SUM(C5:C10)</f>
        <v>102</v>
      </c>
      <c r="D11" s="27" t="n">
        <f aca="false">SUM(D5:D10)</f>
        <v>101</v>
      </c>
      <c r="E11" s="27" t="n">
        <f aca="false">SUM(E5:E10)</f>
        <v>1</v>
      </c>
      <c r="F11" s="31" t="n">
        <f aca="false">SUM(F5:F10)</f>
        <v>341000000</v>
      </c>
    </row>
    <row r="13" customFormat="false" ht="15" hidden="false" customHeight="true" outlineLevel="0" collapsed="false">
      <c r="A13" s="34" t="s">
        <v>193</v>
      </c>
    </row>
    <row r="14" customFormat="false" ht="15" hidden="false" customHeight="true" outlineLevel="0" collapsed="false">
      <c r="A14" s="35" t="s">
        <v>194</v>
      </c>
      <c r="B14" s="35" t="s">
        <v>195</v>
      </c>
    </row>
    <row r="15" customFormat="false" ht="15" hidden="false" customHeight="true" outlineLevel="0" collapsed="false">
      <c r="A15" s="26" t="s">
        <v>148</v>
      </c>
      <c r="B15" s="8" t="n">
        <f aca="false">COUNTIF(ANAKAN!$R$6:$R$107,$A15)</f>
        <v>0</v>
      </c>
    </row>
    <row r="16" customFormat="false" ht="15" hidden="false" customHeight="true" outlineLevel="0" collapsed="false">
      <c r="A16" s="26" t="s">
        <v>149</v>
      </c>
      <c r="B16" s="8" t="n">
        <f aca="false">COUNTIF(ANAKAN!$S$6:$S$107,$A16)</f>
        <v>0</v>
      </c>
    </row>
    <row r="17" customFormat="false" ht="15" hidden="false" customHeight="true" outlineLevel="0" collapsed="false">
      <c r="A17" s="26" t="s">
        <v>150</v>
      </c>
      <c r="B17" s="8" t="n">
        <f aca="false">COUNTIF(ANAKAN!$S$6:$S$107,$A17)</f>
        <v>0</v>
      </c>
    </row>
    <row r="18" customFormat="false" ht="15" hidden="false" customHeight="true" outlineLevel="0" collapsed="false">
      <c r="A18" s="26" t="s">
        <v>151</v>
      </c>
      <c r="B18" s="8" t="n">
        <f aca="false">COUNTIF(ANAKAN!$S$6:$S$107,$A18)</f>
        <v>0</v>
      </c>
    </row>
    <row r="19" customFormat="false" ht="15" hidden="false" customHeight="true" outlineLevel="0" collapsed="false">
      <c r="A19" s="26" t="s">
        <v>153</v>
      </c>
      <c r="B19" s="8" t="n">
        <f aca="false">COUNTIF(ANAKAN!$S$6:$S$107,$A19)</f>
        <v>0</v>
      </c>
    </row>
    <row r="20" customFormat="false" ht="15" hidden="false" customHeight="true" outlineLevel="0" collapsed="false">
      <c r="A20" s="26" t="s">
        <v>152</v>
      </c>
      <c r="B20" s="8" t="n">
        <f aca="false">COUNTIF(ANAKAN!$S$6:$S$107,$A20)</f>
        <v>0</v>
      </c>
    </row>
    <row r="22" customFormat="false" ht="15" hidden="false" customHeight="true" outlineLevel="0" collapsed="false">
      <c r="A22" s="34" t="s">
        <v>196</v>
      </c>
    </row>
    <row r="23" customFormat="false" ht="15" hidden="false" customHeight="true" outlineLevel="0" collapsed="false">
      <c r="A23" s="35" t="s">
        <v>197</v>
      </c>
      <c r="B23" s="35" t="s">
        <v>195</v>
      </c>
      <c r="C23" s="35" t="s">
        <v>198</v>
      </c>
    </row>
    <row r="24" customFormat="false" ht="15" hidden="false" customHeight="true" outlineLevel="0" collapsed="false">
      <c r="A24" s="26" t="s">
        <v>15</v>
      </c>
      <c r="B24" s="8" t="n">
        <f aca="false">COUNTIF(ANAKAN!$J$6:$J$107,$A24)</f>
        <v>29</v>
      </c>
      <c r="C24" s="26" t="s">
        <v>5</v>
      </c>
    </row>
    <row r="25" customFormat="false" ht="15" hidden="false" customHeight="true" outlineLevel="0" collapsed="false">
      <c r="A25" s="26" t="s">
        <v>16</v>
      </c>
      <c r="B25" s="8" t="n">
        <f aca="false">COUNTIF(ANAKAN!$K$6:$K$107,$A25)</f>
        <v>29</v>
      </c>
      <c r="C25" s="26" t="s">
        <v>17</v>
      </c>
    </row>
    <row r="26" customFormat="false" ht="15" hidden="false" customHeight="true" outlineLevel="0" collapsed="false">
      <c r="A26" s="26" t="s">
        <v>18</v>
      </c>
      <c r="B26" s="8" t="n">
        <f aca="false">COUNTIF(ANAKAN!$K$6:$K$107,$A26)</f>
        <v>15</v>
      </c>
      <c r="C26" s="26" t="s">
        <v>3</v>
      </c>
    </row>
    <row r="27" customFormat="false" ht="15" hidden="false" customHeight="true" outlineLevel="0" collapsed="false">
      <c r="A27" s="26" t="s">
        <v>199</v>
      </c>
      <c r="B27" s="8" t="n">
        <f aca="false">COUNTIF(ANAKAN!$K$6:$K$107,$A27)</f>
        <v>0</v>
      </c>
      <c r="C27" s="26" t="s">
        <v>3</v>
      </c>
    </row>
    <row r="28" customFormat="false" ht="15" hidden="false" customHeight="true" outlineLevel="0" collapsed="false">
      <c r="A28" s="26" t="s">
        <v>132</v>
      </c>
      <c r="B28" s="8" t="n">
        <f aca="false">COUNTIF(ANAKAN!$K$6:$K$107,$A28)</f>
        <v>1</v>
      </c>
      <c r="C28" s="26" t="s">
        <v>20</v>
      </c>
    </row>
    <row r="30" customFormat="false" ht="15" hidden="false" customHeight="true" outlineLevel="0" collapsed="false">
      <c r="A30" s="34" t="s">
        <v>200</v>
      </c>
    </row>
    <row r="31" customFormat="false" ht="15" hidden="false" customHeight="true" outlineLevel="0" collapsed="false">
      <c r="A31" s="26" t="s">
        <v>201</v>
      </c>
      <c r="B31" s="8" t="n">
        <f aca="false">B11</f>
        <v>64</v>
      </c>
    </row>
    <row r="32" customFormat="false" ht="15" hidden="false" customHeight="true" outlineLevel="0" collapsed="false">
      <c r="A32" s="26" t="s">
        <v>202</v>
      </c>
      <c r="B32" s="8" t="n">
        <f aca="false">D11</f>
        <v>101</v>
      </c>
    </row>
    <row r="33" customFormat="false" ht="15.75" hidden="false" customHeight="true" outlineLevel="0" collapsed="false">
      <c r="A33" s="28" t="s">
        <v>203</v>
      </c>
      <c r="B33" s="36" t="n">
        <f aca="false">B11+D11</f>
        <v>165</v>
      </c>
    </row>
    <row r="35" customFormat="false" ht="15" hidden="false" customHeight="true" outlineLevel="0" collapsed="false">
      <c r="A35" s="34" t="s">
        <v>204</v>
      </c>
    </row>
    <row r="36" customFormat="false" ht="15" hidden="false" customHeight="true" outlineLevel="0" collapsed="false">
      <c r="A36" s="26" t="s">
        <v>205</v>
      </c>
      <c r="B36" s="7" t="n">
        <v>58</v>
      </c>
    </row>
    <row r="37" customFormat="false" ht="15" hidden="false" customHeight="true" outlineLevel="0" collapsed="false">
      <c r="A37" s="26" t="s">
        <v>206</v>
      </c>
      <c r="B37" s="6" t="n">
        <f aca="false">COUNTIF(ANAKAN!$P$6:$P$107,"YA")</f>
        <v>12</v>
      </c>
    </row>
    <row r="38" customFormat="false" ht="15" hidden="false" customHeight="true" outlineLevel="0" collapsed="false">
      <c r="A38" s="26" t="s">
        <v>207</v>
      </c>
      <c r="B38" s="8" t="n">
        <v>97</v>
      </c>
    </row>
    <row r="39" customFormat="false" ht="15" hidden="false" customHeight="true" outlineLevel="0" collapsed="false">
      <c r="A39" s="26" t="s">
        <v>208</v>
      </c>
      <c r="B39" s="7" t="n">
        <f aca="false">COUNTIF(INDUKAN!$C$6:$C$69,"BELUM ADA NO*")</f>
        <v>6</v>
      </c>
    </row>
    <row r="40" customFormat="false" ht="15" hidden="false" customHeight="true" outlineLevel="0" collapsed="false">
      <c r="A40" s="26" t="s">
        <v>209</v>
      </c>
      <c r="B40" s="7" t="n">
        <f aca="false">COUNTIF(ANAKAN!$D$6:$D$107,"BELUM ADA NO*")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"/>
    <col collapsed="false" customWidth="true" hidden="false" outlineLevel="0" max="4" min="3" style="1" width="10"/>
    <col collapsed="false" customWidth="true" hidden="false" outlineLevel="0" max="6" min="5" style="1" width="9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26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9"/>
    <col collapsed="false" customWidth="true" hidden="false" outlineLevel="0" max="13" min="13" style="1" width="14"/>
    <col collapsed="false" customWidth="true" hidden="false" outlineLevel="0" max="14" min="14" style="1" width="26"/>
    <col collapsed="false" customWidth="true" hidden="false" outlineLevel="0" max="15" min="15" style="1" width="11"/>
    <col collapsed="false" customWidth="true" hidden="false" outlineLevel="0" max="17" min="16" style="1" width="12"/>
    <col collapsed="false" customWidth="true" hidden="false" outlineLevel="0" max="18" min="18" style="1" width="11"/>
    <col collapsed="false" customWidth="true" hidden="false" outlineLevel="0" max="19" min="19" style="1" width="42"/>
    <col collapsed="false" customWidth="true" hidden="false" outlineLevel="0" max="20" min="20" style="1" width="14"/>
    <col collapsed="false" customWidth="true" hidden="false" outlineLevel="0" max="21" min="21" style="1" width="26"/>
    <col collapsed="false" customWidth="true" hidden="false" outlineLevel="0" max="22" min="22" style="1" width="34"/>
  </cols>
  <sheetData>
    <row r="1" customFormat="false" ht="17.25" hidden="false" customHeight="true" outlineLevel="0" collapsed="false">
      <c r="A1" s="37" t="s">
        <v>210</v>
      </c>
    </row>
    <row r="3" customFormat="false" ht="15" hidden="false" customHeight="true" outlineLevel="0" collapsed="false">
      <c r="J3" s="1" t="s">
        <v>211</v>
      </c>
      <c r="L3" s="38" t="n">
        <f aca="true">TODAY()</f>
        <v>46223</v>
      </c>
    </row>
    <row r="5" customFormat="false" ht="23.25" hidden="false" customHeight="true" outlineLevel="0" collapsed="false">
      <c r="A5" s="35" t="s">
        <v>212</v>
      </c>
      <c r="B5" s="35" t="s">
        <v>213</v>
      </c>
      <c r="C5" s="35" t="s">
        <v>214</v>
      </c>
      <c r="D5" s="35" t="s">
        <v>215</v>
      </c>
      <c r="E5" s="35" t="s">
        <v>82</v>
      </c>
      <c r="F5" s="35" t="s">
        <v>216</v>
      </c>
      <c r="G5" s="35" t="s">
        <v>217</v>
      </c>
      <c r="H5" s="35" t="s">
        <v>218</v>
      </c>
      <c r="I5" s="35" t="s">
        <v>219</v>
      </c>
      <c r="J5" s="35" t="s">
        <v>220</v>
      </c>
      <c r="K5" s="35" t="s">
        <v>221</v>
      </c>
      <c r="L5" s="35" t="s">
        <v>222</v>
      </c>
      <c r="M5" s="35" t="s">
        <v>223</v>
      </c>
      <c r="N5" s="35" t="s">
        <v>224</v>
      </c>
      <c r="O5" s="35" t="s">
        <v>225</v>
      </c>
      <c r="P5" s="35" t="s">
        <v>226</v>
      </c>
      <c r="Q5" s="35" t="s">
        <v>227</v>
      </c>
      <c r="R5" s="35" t="s">
        <v>228</v>
      </c>
      <c r="S5" s="35" t="s">
        <v>229</v>
      </c>
      <c r="T5" s="35" t="s">
        <v>230</v>
      </c>
      <c r="U5" s="35" t="s">
        <v>231</v>
      </c>
      <c r="V5" s="35" t="s">
        <v>232</v>
      </c>
    </row>
    <row r="6" customFormat="false" ht="15" hidden="false" customHeight="true" outlineLevel="0" collapsed="false">
      <c r="A6" s="26" t="n">
        <v>1</v>
      </c>
      <c r="B6" s="16" t="s">
        <v>177</v>
      </c>
      <c r="C6" s="5" t="s">
        <v>177</v>
      </c>
      <c r="D6" s="5"/>
      <c r="E6" s="8" t="s">
        <v>87</v>
      </c>
      <c r="F6" s="5" t="s">
        <v>15</v>
      </c>
      <c r="G6" s="8" t="s">
        <v>233</v>
      </c>
      <c r="H6" s="5" t="s">
        <v>234</v>
      </c>
      <c r="I6" s="5" t="s">
        <v>235</v>
      </c>
      <c r="J6" s="39" t="n">
        <v>45554</v>
      </c>
      <c r="K6" s="8" t="n">
        <f aca="false">IF($J6="","",ROUND(($L$3-$J6)/30,1))</f>
        <v>22.3</v>
      </c>
      <c r="L6" s="40" t="n">
        <v>35</v>
      </c>
      <c r="M6" s="29" t="n">
        <v>5500000</v>
      </c>
      <c r="N6" s="6" t="s">
        <v>236</v>
      </c>
      <c r="O6" s="8" t="n">
        <v>1</v>
      </c>
      <c r="P6" s="8" t="n">
        <f aca="false">COUNTIF(ANAKAN!$I$6:$I$300,$B6)</f>
        <v>3</v>
      </c>
      <c r="Q6" s="8" t="n">
        <f aca="false">COUNTIFS(ANAKAN!$I$6:$I$300,$B6,ANAKAN!$N$6:$N$300,"Hidup")</f>
        <v>3</v>
      </c>
      <c r="R6" s="8" t="n">
        <f aca="false">COUNTIFS(ANAKAN!$I$6:$I$300,$B6,ANAKAN!$N$6:$N$300,"Mati")</f>
        <v>0</v>
      </c>
      <c r="S6" s="5"/>
      <c r="T6" s="26" t="s">
        <v>237</v>
      </c>
      <c r="U6" s="26"/>
      <c r="V6" s="26"/>
    </row>
    <row r="7" customFormat="false" ht="15" hidden="false" customHeight="true" outlineLevel="0" collapsed="false">
      <c r="A7" s="26" t="n">
        <v>2</v>
      </c>
      <c r="B7" s="16" t="s">
        <v>238</v>
      </c>
      <c r="C7" s="5" t="s">
        <v>238</v>
      </c>
      <c r="D7" s="5" t="s">
        <v>239</v>
      </c>
      <c r="E7" s="8" t="s">
        <v>87</v>
      </c>
      <c r="F7" s="5" t="s">
        <v>15</v>
      </c>
      <c r="G7" s="8" t="s">
        <v>233</v>
      </c>
      <c r="H7" s="5" t="s">
        <v>234</v>
      </c>
      <c r="I7" s="5" t="s">
        <v>240</v>
      </c>
      <c r="J7" s="39" t="n">
        <v>45554</v>
      </c>
      <c r="K7" s="8" t="n">
        <f aca="false">IF($J7="","",ROUND(($L$3-$J7)/30,1))</f>
        <v>22.3</v>
      </c>
      <c r="L7" s="40" t="n">
        <v>35</v>
      </c>
      <c r="M7" s="29" t="n">
        <v>5500000</v>
      </c>
      <c r="N7" s="6" t="s">
        <v>241</v>
      </c>
      <c r="O7" s="8" t="n">
        <v>1</v>
      </c>
      <c r="P7" s="8" t="n">
        <f aca="false">COUNTIF(ANAKAN!$I$6:$I$300,$B7)</f>
        <v>1</v>
      </c>
      <c r="Q7" s="8" t="n">
        <f aca="false">COUNTIFS(ANAKAN!$I$6:$I$300,$B7,ANAKAN!$N$6:$N$300,"Hidup")</f>
        <v>1</v>
      </c>
      <c r="R7" s="8" t="n">
        <f aca="false">COUNTIFS(ANAKAN!$I$6:$I$300,$B7,ANAKAN!$N$6:$N$300,"Mati")</f>
        <v>0</v>
      </c>
      <c r="S7" s="5"/>
      <c r="T7" s="26" t="s">
        <v>237</v>
      </c>
      <c r="U7" s="26"/>
      <c r="V7" s="26"/>
    </row>
    <row r="8" customFormat="false" ht="15" hidden="false" customHeight="true" outlineLevel="0" collapsed="false">
      <c r="A8" s="26" t="n">
        <v>3</v>
      </c>
      <c r="B8" s="16" t="s">
        <v>172</v>
      </c>
      <c r="C8" s="5" t="s">
        <v>172</v>
      </c>
      <c r="D8" s="5" t="s">
        <v>242</v>
      </c>
      <c r="E8" s="8" t="s">
        <v>87</v>
      </c>
      <c r="F8" s="5" t="s">
        <v>15</v>
      </c>
      <c r="G8" s="8" t="s">
        <v>233</v>
      </c>
      <c r="H8" s="5" t="s">
        <v>234</v>
      </c>
      <c r="I8" s="5" t="s">
        <v>243</v>
      </c>
      <c r="J8" s="39" t="n">
        <v>45554</v>
      </c>
      <c r="K8" s="8" t="n">
        <f aca="false">IF($J8="","",ROUND(($L$3-$J8)/30,1))</f>
        <v>22.3</v>
      </c>
      <c r="L8" s="40" t="n">
        <v>35</v>
      </c>
      <c r="M8" s="29" t="n">
        <v>5500000</v>
      </c>
      <c r="N8" s="6" t="s">
        <v>236</v>
      </c>
      <c r="O8" s="8" t="n">
        <v>2</v>
      </c>
      <c r="P8" s="8" t="n">
        <f aca="false">COUNTIF(ANAKAN!$I$6:$I$300,$B8)</f>
        <v>4</v>
      </c>
      <c r="Q8" s="8" t="n">
        <f aca="false">COUNTIFS(ANAKAN!$I$6:$I$300,$B8,ANAKAN!$N$6:$N$300,"Hidup")</f>
        <v>4</v>
      </c>
      <c r="R8" s="8" t="n">
        <f aca="false">COUNTIFS(ANAKAN!$I$6:$I$300,$B8,ANAKAN!$N$6:$N$300,"Mati")</f>
        <v>0</v>
      </c>
      <c r="S8" s="5"/>
      <c r="T8" s="26" t="s">
        <v>237</v>
      </c>
      <c r="U8" s="26"/>
      <c r="V8" s="26"/>
    </row>
    <row r="9" customFormat="false" ht="15" hidden="false" customHeight="true" outlineLevel="0" collapsed="false">
      <c r="A9" s="26" t="n">
        <v>4</v>
      </c>
      <c r="B9" s="16" t="s">
        <v>244</v>
      </c>
      <c r="C9" s="5" t="s">
        <v>244</v>
      </c>
      <c r="D9" s="5" t="s">
        <v>245</v>
      </c>
      <c r="E9" s="8" t="s">
        <v>87</v>
      </c>
      <c r="F9" s="5" t="s">
        <v>15</v>
      </c>
      <c r="G9" s="8" t="s">
        <v>233</v>
      </c>
      <c r="H9" s="5" t="s">
        <v>234</v>
      </c>
      <c r="I9" s="5" t="s">
        <v>246</v>
      </c>
      <c r="J9" s="39" t="n">
        <v>45554</v>
      </c>
      <c r="K9" s="8" t="n">
        <f aca="false">IF($J9="","",ROUND(($L$3-$J9)/30,1))</f>
        <v>22.3</v>
      </c>
      <c r="L9" s="40" t="n">
        <v>35</v>
      </c>
      <c r="M9" s="29" t="n">
        <v>5500000</v>
      </c>
      <c r="N9" s="6" t="s">
        <v>241</v>
      </c>
      <c r="O9" s="8" t="n">
        <v>2</v>
      </c>
      <c r="P9" s="8" t="n">
        <f aca="false">COUNTIF(ANAKAN!$I$6:$I$300,$B9)</f>
        <v>2</v>
      </c>
      <c r="Q9" s="8" t="n">
        <f aca="false">COUNTIFS(ANAKAN!$I$6:$I$300,$B9,ANAKAN!$N$6:$N$300,"Hidup")</f>
        <v>2</v>
      </c>
      <c r="R9" s="8" t="n">
        <f aca="false">COUNTIFS(ANAKAN!$I$6:$I$300,$B9,ANAKAN!$N$6:$N$300,"Mati")</f>
        <v>0</v>
      </c>
      <c r="S9" s="5"/>
      <c r="T9" s="26" t="s">
        <v>237</v>
      </c>
      <c r="U9" s="26"/>
      <c r="V9" s="26"/>
    </row>
    <row r="10" customFormat="false" ht="15" hidden="false" customHeight="true" outlineLevel="0" collapsed="false">
      <c r="A10" s="26" t="n">
        <v>5</v>
      </c>
      <c r="B10" s="16" t="s">
        <v>175</v>
      </c>
      <c r="C10" s="5" t="s">
        <v>175</v>
      </c>
      <c r="D10" s="5" t="s">
        <v>247</v>
      </c>
      <c r="E10" s="8" t="s">
        <v>87</v>
      </c>
      <c r="F10" s="5" t="s">
        <v>15</v>
      </c>
      <c r="G10" s="8" t="s">
        <v>233</v>
      </c>
      <c r="H10" s="5" t="s">
        <v>234</v>
      </c>
      <c r="I10" s="5" t="s">
        <v>248</v>
      </c>
      <c r="J10" s="39" t="n">
        <v>45554</v>
      </c>
      <c r="K10" s="8" t="n">
        <f aca="false">IF($J10="","",ROUND(($L$3-$J10)/30,1))</f>
        <v>22.3</v>
      </c>
      <c r="L10" s="40" t="n">
        <v>35</v>
      </c>
      <c r="M10" s="29" t="n">
        <v>5500000</v>
      </c>
      <c r="N10" s="6" t="s">
        <v>249</v>
      </c>
      <c r="O10" s="8" t="n">
        <v>2</v>
      </c>
      <c r="P10" s="8" t="n">
        <f aca="false">COUNTIF(ANAKAN!$I$6:$I$300,$B10)</f>
        <v>3</v>
      </c>
      <c r="Q10" s="8" t="n">
        <f aca="false">COUNTIFS(ANAKAN!$I$6:$I$300,$B10,ANAKAN!$N$6:$N$300,"Hidup")</f>
        <v>3</v>
      </c>
      <c r="R10" s="8" t="n">
        <f aca="false">COUNTIFS(ANAKAN!$I$6:$I$300,$B10,ANAKAN!$N$6:$N$300,"Mati")</f>
        <v>0</v>
      </c>
      <c r="S10" s="5"/>
      <c r="T10" s="26" t="s">
        <v>237</v>
      </c>
      <c r="U10" s="26"/>
      <c r="V10" s="26"/>
    </row>
    <row r="11" customFormat="false" ht="15" hidden="false" customHeight="true" outlineLevel="0" collapsed="false">
      <c r="A11" s="26" t="n">
        <v>6</v>
      </c>
      <c r="B11" s="16" t="s">
        <v>250</v>
      </c>
      <c r="C11" s="5" t="s">
        <v>251</v>
      </c>
      <c r="D11" s="5"/>
      <c r="E11" s="8" t="s">
        <v>88</v>
      </c>
      <c r="F11" s="5" t="s">
        <v>16</v>
      </c>
      <c r="G11" s="8" t="s">
        <v>252</v>
      </c>
      <c r="H11" s="5" t="s">
        <v>234</v>
      </c>
      <c r="I11" s="5" t="s">
        <v>253</v>
      </c>
      <c r="J11" s="39" t="n">
        <v>45796</v>
      </c>
      <c r="K11" s="8" t="n">
        <f aca="false">IF($J11="","",ROUND(($L$3-$J11)/30,1))</f>
        <v>14.2</v>
      </c>
      <c r="L11" s="40" t="n">
        <v>35</v>
      </c>
      <c r="M11" s="29" t="n">
        <v>6500000</v>
      </c>
      <c r="N11" s="6" t="s">
        <v>249</v>
      </c>
      <c r="O11" s="8" t="n">
        <v>1</v>
      </c>
      <c r="P11" s="8" t="n">
        <f aca="false">COUNTIF(ANAKAN!$I$6:$I$300,$B11)</f>
        <v>1</v>
      </c>
      <c r="Q11" s="8" t="n">
        <f aca="false">COUNTIFS(ANAKAN!$I$6:$I$300,$B11,ANAKAN!$N$6:$N$300,"Hidup")</f>
        <v>1</v>
      </c>
      <c r="R11" s="8" t="n">
        <f aca="false">COUNTIFS(ANAKAN!$I$6:$I$300,$B11,ANAKAN!$N$6:$N$300,"Mati")</f>
        <v>0</v>
      </c>
      <c r="S11" s="5"/>
      <c r="T11" s="26" t="s">
        <v>237</v>
      </c>
      <c r="U11" s="26"/>
      <c r="V11" s="26"/>
    </row>
    <row r="12" customFormat="false" ht="15" hidden="false" customHeight="true" outlineLevel="0" collapsed="false">
      <c r="A12" s="26" t="n">
        <v>7</v>
      </c>
      <c r="B12" s="16" t="s">
        <v>254</v>
      </c>
      <c r="C12" s="5" t="s">
        <v>255</v>
      </c>
      <c r="D12" s="5"/>
      <c r="E12" s="8" t="s">
        <v>88</v>
      </c>
      <c r="F12" s="5" t="s">
        <v>16</v>
      </c>
      <c r="G12" s="8" t="s">
        <v>252</v>
      </c>
      <c r="H12" s="5" t="s">
        <v>234</v>
      </c>
      <c r="I12" s="5" t="s">
        <v>256</v>
      </c>
      <c r="J12" s="39" t="n">
        <v>45796</v>
      </c>
      <c r="K12" s="8" t="n">
        <f aca="false">IF($J12="","",ROUND(($L$3-$J12)/30,1))</f>
        <v>14.2</v>
      </c>
      <c r="L12" s="40" t="n">
        <v>35</v>
      </c>
      <c r="M12" s="29" t="n">
        <v>6500000</v>
      </c>
      <c r="N12" s="6" t="s">
        <v>236</v>
      </c>
      <c r="O12" s="8" t="n">
        <v>0</v>
      </c>
      <c r="P12" s="8" t="n">
        <f aca="false">COUNTIF(ANAKAN!$I$6:$I$300,$B12)</f>
        <v>0</v>
      </c>
      <c r="Q12" s="8" t="n">
        <f aca="false">COUNTIFS(ANAKAN!$I$6:$I$300,$B12,ANAKAN!$N$6:$N$300,"Hidup")</f>
        <v>0</v>
      </c>
      <c r="R12" s="8" t="n">
        <f aca="false">COUNTIFS(ANAKAN!$I$6:$I$300,$B12,ANAKAN!$N$6:$N$300,"Mati")</f>
        <v>0</v>
      </c>
      <c r="S12" s="5"/>
      <c r="T12" s="26" t="s">
        <v>237</v>
      </c>
      <c r="U12" s="26"/>
      <c r="V12" s="26"/>
    </row>
    <row r="13" customFormat="false" ht="15" hidden="false" customHeight="true" outlineLevel="0" collapsed="false">
      <c r="A13" s="26" t="n">
        <v>8</v>
      </c>
      <c r="B13" s="16" t="s">
        <v>257</v>
      </c>
      <c r="C13" s="5" t="s">
        <v>257</v>
      </c>
      <c r="D13" s="5" t="s">
        <v>258</v>
      </c>
      <c r="E13" s="8" t="s">
        <v>88</v>
      </c>
      <c r="F13" s="5" t="s">
        <v>16</v>
      </c>
      <c r="G13" s="8" t="s">
        <v>252</v>
      </c>
      <c r="H13" s="5" t="s">
        <v>234</v>
      </c>
      <c r="I13" s="5" t="s">
        <v>259</v>
      </c>
      <c r="J13" s="39" t="n">
        <v>45796</v>
      </c>
      <c r="K13" s="8" t="n">
        <f aca="false">IF($J13="","",ROUND(($L$3-$J13)/30,1))</f>
        <v>14.2</v>
      </c>
      <c r="L13" s="40" t="n">
        <v>35</v>
      </c>
      <c r="M13" s="29" t="n">
        <v>6500000</v>
      </c>
      <c r="N13" s="6" t="s">
        <v>241</v>
      </c>
      <c r="O13" s="8" t="n">
        <v>0</v>
      </c>
      <c r="P13" s="8" t="n">
        <f aca="false">COUNTIF(ANAKAN!$I$6:$I$300,$B13)</f>
        <v>0</v>
      </c>
      <c r="Q13" s="8" t="n">
        <f aca="false">COUNTIFS(ANAKAN!$I$6:$I$300,$B13,ANAKAN!$N$6:$N$300,"Hidup")</f>
        <v>0</v>
      </c>
      <c r="R13" s="8" t="n">
        <f aca="false">COUNTIFS(ANAKAN!$I$6:$I$300,$B13,ANAKAN!$N$6:$N$300,"Mati")</f>
        <v>0</v>
      </c>
      <c r="S13" s="5"/>
      <c r="T13" s="26" t="s">
        <v>237</v>
      </c>
      <c r="U13" s="26"/>
      <c r="V13" s="26"/>
    </row>
    <row r="14" customFormat="false" ht="15" hidden="false" customHeight="true" outlineLevel="0" collapsed="false">
      <c r="A14" s="26" t="n">
        <v>9</v>
      </c>
      <c r="B14" s="16" t="s">
        <v>260</v>
      </c>
      <c r="C14" s="5" t="s">
        <v>260</v>
      </c>
      <c r="D14" s="5" t="s">
        <v>261</v>
      </c>
      <c r="E14" s="8" t="s">
        <v>88</v>
      </c>
      <c r="F14" s="5" t="s">
        <v>16</v>
      </c>
      <c r="G14" s="8" t="s">
        <v>252</v>
      </c>
      <c r="H14" s="5" t="s">
        <v>234</v>
      </c>
      <c r="I14" s="5" t="s">
        <v>262</v>
      </c>
      <c r="J14" s="39" t="n">
        <v>45796</v>
      </c>
      <c r="K14" s="8" t="n">
        <f aca="false">IF($J14="","",ROUND(($L$3-$J14)/30,1))</f>
        <v>14.2</v>
      </c>
      <c r="L14" s="40" t="n">
        <v>35</v>
      </c>
      <c r="M14" s="29" t="n">
        <v>6500000</v>
      </c>
      <c r="N14" s="6" t="s">
        <v>249</v>
      </c>
      <c r="O14" s="8" t="n">
        <v>1</v>
      </c>
      <c r="P14" s="8" t="n">
        <f aca="false">COUNTIF(ANAKAN!$I$6:$I$300,$B14)</f>
        <v>1</v>
      </c>
      <c r="Q14" s="8" t="n">
        <f aca="false">COUNTIFS(ANAKAN!$I$6:$I$300,$B14,ANAKAN!$N$6:$N$300,"Hidup")</f>
        <v>1</v>
      </c>
      <c r="R14" s="8" t="n">
        <f aca="false">COUNTIFS(ANAKAN!$I$6:$I$300,$B14,ANAKAN!$N$6:$N$300,"Mati")</f>
        <v>0</v>
      </c>
      <c r="S14" s="5"/>
      <c r="T14" s="26" t="s">
        <v>237</v>
      </c>
      <c r="U14" s="26"/>
      <c r="V14" s="26"/>
    </row>
    <row r="15" customFormat="false" ht="15" hidden="false" customHeight="true" outlineLevel="0" collapsed="false">
      <c r="A15" s="26" t="n">
        <v>10</v>
      </c>
      <c r="B15" s="16" t="s">
        <v>263</v>
      </c>
      <c r="C15" s="5" t="s">
        <v>263</v>
      </c>
      <c r="D15" s="5" t="s">
        <v>264</v>
      </c>
      <c r="E15" s="8" t="s">
        <v>88</v>
      </c>
      <c r="F15" s="5" t="s">
        <v>16</v>
      </c>
      <c r="G15" s="8" t="s">
        <v>252</v>
      </c>
      <c r="H15" s="5" t="s">
        <v>234</v>
      </c>
      <c r="I15" s="5" t="s">
        <v>265</v>
      </c>
      <c r="J15" s="39" t="n">
        <v>45796</v>
      </c>
      <c r="K15" s="8" t="n">
        <f aca="false">IF($J15="","",ROUND(($L$3-$J15)/30,1))</f>
        <v>14.2</v>
      </c>
      <c r="L15" s="40" t="n">
        <v>35</v>
      </c>
      <c r="M15" s="29" t="n">
        <v>6500000</v>
      </c>
      <c r="N15" s="6" t="s">
        <v>236</v>
      </c>
      <c r="O15" s="8" t="n">
        <v>0</v>
      </c>
      <c r="P15" s="8" t="n">
        <f aca="false">COUNTIF(ANAKAN!$I$6:$I$300,$B15)</f>
        <v>0</v>
      </c>
      <c r="Q15" s="8" t="n">
        <f aca="false">COUNTIFS(ANAKAN!$I$6:$I$300,$B15,ANAKAN!$N$6:$N$300,"Hidup")</f>
        <v>0</v>
      </c>
      <c r="R15" s="8" t="n">
        <f aca="false">COUNTIFS(ANAKAN!$I$6:$I$300,$B15,ANAKAN!$N$6:$N$300,"Mati")</f>
        <v>0</v>
      </c>
      <c r="S15" s="5"/>
      <c r="T15" s="26" t="s">
        <v>237</v>
      </c>
      <c r="U15" s="26"/>
      <c r="V15" s="26"/>
    </row>
    <row r="16" customFormat="false" ht="15" hidden="false" customHeight="true" outlineLevel="0" collapsed="false">
      <c r="A16" s="26" t="n">
        <v>11</v>
      </c>
      <c r="B16" s="16" t="s">
        <v>266</v>
      </c>
      <c r="C16" s="5" t="s">
        <v>266</v>
      </c>
      <c r="D16" s="5"/>
      <c r="E16" s="8" t="s">
        <v>89</v>
      </c>
      <c r="F16" s="5" t="s">
        <v>16</v>
      </c>
      <c r="G16" s="8" t="s">
        <v>252</v>
      </c>
      <c r="H16" s="5" t="s">
        <v>234</v>
      </c>
      <c r="I16" s="5" t="s">
        <v>267</v>
      </c>
      <c r="J16" s="39" t="n">
        <v>45796</v>
      </c>
      <c r="K16" s="8" t="n">
        <f aca="false">IF($J16="","",ROUND(($L$3-$J16)/30,1))</f>
        <v>14.2</v>
      </c>
      <c r="L16" s="40" t="n">
        <v>35</v>
      </c>
      <c r="M16" s="29" t="n">
        <v>6500000</v>
      </c>
      <c r="N16" s="6" t="s">
        <v>249</v>
      </c>
      <c r="O16" s="8" t="n">
        <v>1</v>
      </c>
      <c r="P16" s="8" t="n">
        <f aca="false">COUNTIF(ANAKAN!$I$6:$I$300,$B16)</f>
        <v>2</v>
      </c>
      <c r="Q16" s="8" t="n">
        <f aca="false">COUNTIFS(ANAKAN!$I$6:$I$300,$B16,ANAKAN!$N$6:$N$300,"Hidup")</f>
        <v>2</v>
      </c>
      <c r="R16" s="8" t="n">
        <f aca="false">COUNTIFS(ANAKAN!$I$6:$I$300,$B16,ANAKAN!$N$6:$N$300,"Mati")</f>
        <v>0</v>
      </c>
      <c r="S16" s="5"/>
      <c r="T16" s="26" t="s">
        <v>237</v>
      </c>
      <c r="U16" s="26"/>
      <c r="V16" s="26"/>
    </row>
    <row r="17" customFormat="false" ht="15" hidden="false" customHeight="true" outlineLevel="0" collapsed="false">
      <c r="A17" s="26" t="n">
        <v>12</v>
      </c>
      <c r="B17" s="16" t="s">
        <v>268</v>
      </c>
      <c r="C17" s="5" t="s">
        <v>268</v>
      </c>
      <c r="D17" s="5"/>
      <c r="E17" s="8" t="s">
        <v>89</v>
      </c>
      <c r="F17" s="5" t="s">
        <v>16</v>
      </c>
      <c r="G17" s="8" t="s">
        <v>252</v>
      </c>
      <c r="H17" s="5" t="s">
        <v>234</v>
      </c>
      <c r="I17" s="5" t="s">
        <v>269</v>
      </c>
      <c r="J17" s="39" t="n">
        <v>45796</v>
      </c>
      <c r="K17" s="8" t="n">
        <f aca="false">IF($J17="","",ROUND(($L$3-$J17)/30,1))</f>
        <v>14.2</v>
      </c>
      <c r="L17" s="40" t="n">
        <v>35</v>
      </c>
      <c r="M17" s="29" t="n">
        <v>6500000</v>
      </c>
      <c r="N17" s="6" t="s">
        <v>249</v>
      </c>
      <c r="O17" s="8" t="n">
        <v>1</v>
      </c>
      <c r="P17" s="8" t="n">
        <f aca="false">COUNTIF(ANAKAN!$I$6:$I$300,$B17)</f>
        <v>2</v>
      </c>
      <c r="Q17" s="8" t="n">
        <f aca="false">COUNTIFS(ANAKAN!$I$6:$I$300,$B17,ANAKAN!$N$6:$N$300,"Hidup")</f>
        <v>2</v>
      </c>
      <c r="R17" s="8" t="n">
        <f aca="false">COUNTIFS(ANAKAN!$I$6:$I$300,$B17,ANAKAN!$N$6:$N$300,"Mati")</f>
        <v>0</v>
      </c>
      <c r="S17" s="5"/>
      <c r="T17" s="26" t="s">
        <v>237</v>
      </c>
      <c r="U17" s="26"/>
      <c r="V17" s="26"/>
    </row>
    <row r="18" customFormat="false" ht="15" hidden="false" customHeight="true" outlineLevel="0" collapsed="false">
      <c r="A18" s="26" t="n">
        <v>13</v>
      </c>
      <c r="B18" s="16" t="s">
        <v>270</v>
      </c>
      <c r="C18" s="5" t="s">
        <v>270</v>
      </c>
      <c r="D18" s="5" t="s">
        <v>271</v>
      </c>
      <c r="E18" s="8" t="s">
        <v>89</v>
      </c>
      <c r="F18" s="5" t="s">
        <v>16</v>
      </c>
      <c r="G18" s="8" t="s">
        <v>252</v>
      </c>
      <c r="H18" s="5" t="s">
        <v>234</v>
      </c>
      <c r="I18" s="5" t="s">
        <v>272</v>
      </c>
      <c r="J18" s="39" t="n">
        <v>45796</v>
      </c>
      <c r="K18" s="8" t="n">
        <f aca="false">IF($J18="","",ROUND(($L$3-$J18)/30,1))</f>
        <v>14.2</v>
      </c>
      <c r="L18" s="40" t="n">
        <v>35</v>
      </c>
      <c r="M18" s="29" t="n">
        <v>6500000</v>
      </c>
      <c r="N18" s="6" t="s">
        <v>249</v>
      </c>
      <c r="O18" s="8" t="n">
        <v>1</v>
      </c>
      <c r="P18" s="8" t="n">
        <f aca="false">COUNTIF(ANAKAN!$I$6:$I$300,$B18)</f>
        <v>1</v>
      </c>
      <c r="Q18" s="8" t="n">
        <f aca="false">COUNTIFS(ANAKAN!$I$6:$I$300,$B18,ANAKAN!$N$6:$N$300,"Hidup")</f>
        <v>1</v>
      </c>
      <c r="R18" s="8" t="n">
        <f aca="false">COUNTIFS(ANAKAN!$I$6:$I$300,$B18,ANAKAN!$N$6:$N$300,"Mati")</f>
        <v>0</v>
      </c>
      <c r="S18" s="5"/>
      <c r="T18" s="26" t="s">
        <v>237</v>
      </c>
      <c r="U18" s="26"/>
      <c r="V18" s="26"/>
    </row>
    <row r="19" customFormat="false" ht="15" hidden="false" customHeight="true" outlineLevel="0" collapsed="false">
      <c r="A19" s="26" t="n">
        <v>14</v>
      </c>
      <c r="B19" s="16" t="s">
        <v>273</v>
      </c>
      <c r="C19" s="5" t="s">
        <v>273</v>
      </c>
      <c r="D19" s="5" t="s">
        <v>274</v>
      </c>
      <c r="E19" s="8" t="s">
        <v>89</v>
      </c>
      <c r="F19" s="5" t="s">
        <v>16</v>
      </c>
      <c r="G19" s="8" t="s">
        <v>252</v>
      </c>
      <c r="H19" s="5" t="s">
        <v>234</v>
      </c>
      <c r="I19" s="5" t="s">
        <v>275</v>
      </c>
      <c r="J19" s="39" t="n">
        <v>45796</v>
      </c>
      <c r="K19" s="8" t="n">
        <f aca="false">IF($J19="","",ROUND(($L$3-$J19)/30,1))</f>
        <v>14.2</v>
      </c>
      <c r="L19" s="40" t="n">
        <v>35</v>
      </c>
      <c r="M19" s="29" t="n">
        <v>6500000</v>
      </c>
      <c r="N19" s="6" t="s">
        <v>241</v>
      </c>
      <c r="O19" s="8" t="n">
        <v>0</v>
      </c>
      <c r="P19" s="8" t="n">
        <f aca="false">COUNTIF(ANAKAN!$I$6:$I$300,$B19)</f>
        <v>0</v>
      </c>
      <c r="Q19" s="8" t="n">
        <f aca="false">COUNTIFS(ANAKAN!$I$6:$I$300,$B19,ANAKAN!$N$6:$N$300,"Hidup")</f>
        <v>0</v>
      </c>
      <c r="R19" s="8" t="n">
        <f aca="false">COUNTIFS(ANAKAN!$I$6:$I$300,$B19,ANAKAN!$N$6:$N$300,"Mati")</f>
        <v>0</v>
      </c>
      <c r="S19" s="5"/>
      <c r="T19" s="26" t="s">
        <v>237</v>
      </c>
      <c r="U19" s="26"/>
      <c r="V19" s="26"/>
    </row>
    <row r="20" customFormat="false" ht="15" hidden="false" customHeight="true" outlineLevel="0" collapsed="false">
      <c r="A20" s="26" t="n">
        <v>15</v>
      </c>
      <c r="B20" s="16" t="s">
        <v>276</v>
      </c>
      <c r="C20" s="5" t="s">
        <v>276</v>
      </c>
      <c r="D20" s="5"/>
      <c r="E20" s="8" t="s">
        <v>89</v>
      </c>
      <c r="F20" s="5" t="s">
        <v>16</v>
      </c>
      <c r="G20" s="8" t="s">
        <v>252</v>
      </c>
      <c r="H20" s="5" t="s">
        <v>234</v>
      </c>
      <c r="I20" s="5" t="s">
        <v>277</v>
      </c>
      <c r="J20" s="39" t="n">
        <v>45796</v>
      </c>
      <c r="K20" s="8" t="n">
        <f aca="false">IF($J20="","",ROUND(($L$3-$J20)/30,1))</f>
        <v>14.2</v>
      </c>
      <c r="L20" s="40" t="n">
        <v>35</v>
      </c>
      <c r="M20" s="29" t="n">
        <v>6500000</v>
      </c>
      <c r="N20" s="6" t="s">
        <v>249</v>
      </c>
      <c r="O20" s="8" t="n">
        <v>1</v>
      </c>
      <c r="P20" s="8" t="n">
        <f aca="false">COUNTIF(ANAKAN!$I$6:$I$300,$B20)</f>
        <v>1</v>
      </c>
      <c r="Q20" s="8" t="n">
        <f aca="false">COUNTIFS(ANAKAN!$I$6:$I$300,$B20,ANAKAN!$N$6:$N$300,"Hidup")</f>
        <v>1</v>
      </c>
      <c r="R20" s="8" t="n">
        <f aca="false">COUNTIFS(ANAKAN!$I$6:$I$300,$B20,ANAKAN!$N$6:$N$300,"Mati")</f>
        <v>0</v>
      </c>
      <c r="S20" s="5"/>
      <c r="T20" s="26" t="s">
        <v>237</v>
      </c>
      <c r="U20" s="26"/>
      <c r="V20" s="26"/>
    </row>
    <row r="21" customFormat="false" ht="15" hidden="false" customHeight="true" outlineLevel="0" collapsed="false">
      <c r="A21" s="26" t="n">
        <v>16</v>
      </c>
      <c r="B21" s="16" t="s">
        <v>278</v>
      </c>
      <c r="C21" s="5" t="s">
        <v>278</v>
      </c>
      <c r="D21" s="5" t="s">
        <v>279</v>
      </c>
      <c r="E21" s="8" t="s">
        <v>90</v>
      </c>
      <c r="F21" s="5" t="s">
        <v>16</v>
      </c>
      <c r="G21" s="8" t="s">
        <v>252</v>
      </c>
      <c r="H21" s="5" t="s">
        <v>234</v>
      </c>
      <c r="I21" s="5" t="s">
        <v>280</v>
      </c>
      <c r="J21" s="39" t="n">
        <v>45796</v>
      </c>
      <c r="K21" s="8" t="n">
        <f aca="false">IF($J21="","",ROUND(($L$3-$J21)/30,1))</f>
        <v>14.2</v>
      </c>
      <c r="L21" s="40" t="n">
        <v>35</v>
      </c>
      <c r="M21" s="29" t="n">
        <v>6500000</v>
      </c>
      <c r="N21" s="6" t="s">
        <v>236</v>
      </c>
      <c r="O21" s="8" t="n">
        <v>0</v>
      </c>
      <c r="P21" s="8" t="n">
        <f aca="false">COUNTIF(ANAKAN!$I$6:$I$300,$B21)</f>
        <v>0</v>
      </c>
      <c r="Q21" s="8" t="n">
        <f aca="false">COUNTIFS(ANAKAN!$I$6:$I$300,$B21,ANAKAN!$N$6:$N$300,"Hidup")</f>
        <v>0</v>
      </c>
      <c r="R21" s="8" t="n">
        <f aca="false">COUNTIFS(ANAKAN!$I$6:$I$300,$B21,ANAKAN!$N$6:$N$300,"Mati")</f>
        <v>0</v>
      </c>
      <c r="S21" s="5"/>
      <c r="T21" s="26" t="s">
        <v>237</v>
      </c>
      <c r="U21" s="26"/>
      <c r="V21" s="26"/>
    </row>
    <row r="22" customFormat="false" ht="15" hidden="false" customHeight="true" outlineLevel="0" collapsed="false">
      <c r="A22" s="26" t="n">
        <v>17</v>
      </c>
      <c r="B22" s="16" t="s">
        <v>281</v>
      </c>
      <c r="C22" s="5" t="s">
        <v>281</v>
      </c>
      <c r="D22" s="5"/>
      <c r="E22" s="8" t="s">
        <v>90</v>
      </c>
      <c r="F22" s="5" t="s">
        <v>16</v>
      </c>
      <c r="G22" s="8" t="s">
        <v>252</v>
      </c>
      <c r="H22" s="5" t="s">
        <v>234</v>
      </c>
      <c r="I22" s="5" t="s">
        <v>282</v>
      </c>
      <c r="J22" s="39" t="n">
        <v>45796</v>
      </c>
      <c r="K22" s="8" t="n">
        <f aca="false">IF($J22="","",ROUND(($L$3-$J22)/30,1))</f>
        <v>14.2</v>
      </c>
      <c r="L22" s="40" t="n">
        <v>35</v>
      </c>
      <c r="M22" s="29" t="n">
        <v>6500000</v>
      </c>
      <c r="N22" s="6" t="s">
        <v>249</v>
      </c>
      <c r="O22" s="8" t="n">
        <v>1</v>
      </c>
      <c r="P22" s="8" t="n">
        <f aca="false">COUNTIF(ANAKAN!$I$6:$I$300,$B22)</f>
        <v>1</v>
      </c>
      <c r="Q22" s="8" t="n">
        <f aca="false">COUNTIFS(ANAKAN!$I$6:$I$300,$B22,ANAKAN!$N$6:$N$300,"Hidup")</f>
        <v>1</v>
      </c>
      <c r="R22" s="8" t="n">
        <f aca="false">COUNTIFS(ANAKAN!$I$6:$I$300,$B22,ANAKAN!$N$6:$N$300,"Mati")</f>
        <v>0</v>
      </c>
      <c r="S22" s="5"/>
      <c r="T22" s="26" t="s">
        <v>237</v>
      </c>
      <c r="U22" s="26"/>
      <c r="V22" s="26"/>
    </row>
    <row r="23" customFormat="false" ht="15" hidden="false" customHeight="true" outlineLevel="0" collapsed="false">
      <c r="A23" s="26" t="n">
        <v>18</v>
      </c>
      <c r="B23" s="16" t="s">
        <v>283</v>
      </c>
      <c r="C23" s="5" t="s">
        <v>283</v>
      </c>
      <c r="D23" s="5" t="s">
        <v>284</v>
      </c>
      <c r="E23" s="8" t="s">
        <v>90</v>
      </c>
      <c r="F23" s="5" t="s">
        <v>16</v>
      </c>
      <c r="G23" s="8" t="s">
        <v>252</v>
      </c>
      <c r="H23" s="5" t="s">
        <v>234</v>
      </c>
      <c r="I23" s="5" t="s">
        <v>285</v>
      </c>
      <c r="J23" s="39" t="n">
        <v>45796</v>
      </c>
      <c r="K23" s="8" t="n">
        <f aca="false">IF($J23="","",ROUND(($L$3-$J23)/30,1))</f>
        <v>14.2</v>
      </c>
      <c r="L23" s="40" t="n">
        <v>35</v>
      </c>
      <c r="M23" s="29" t="n">
        <v>6500000</v>
      </c>
      <c r="N23" s="6" t="s">
        <v>249</v>
      </c>
      <c r="O23" s="8" t="n">
        <v>1</v>
      </c>
      <c r="P23" s="8" t="n">
        <f aca="false">COUNTIF(ANAKAN!$I$6:$I$300,$B23)</f>
        <v>1</v>
      </c>
      <c r="Q23" s="8" t="n">
        <f aca="false">COUNTIFS(ANAKAN!$I$6:$I$300,$B23,ANAKAN!$N$6:$N$300,"Hidup")</f>
        <v>1</v>
      </c>
      <c r="R23" s="8" t="n">
        <f aca="false">COUNTIFS(ANAKAN!$I$6:$I$300,$B23,ANAKAN!$N$6:$N$300,"Mati")</f>
        <v>0</v>
      </c>
      <c r="S23" s="5"/>
      <c r="T23" s="26" t="s">
        <v>237</v>
      </c>
      <c r="U23" s="26"/>
      <c r="V23" s="26"/>
    </row>
    <row r="24" customFormat="false" ht="15" hidden="false" customHeight="true" outlineLevel="0" collapsed="false">
      <c r="A24" s="26" t="n">
        <v>19</v>
      </c>
      <c r="B24" s="16" t="s">
        <v>286</v>
      </c>
      <c r="C24" s="5" t="s">
        <v>287</v>
      </c>
      <c r="D24" s="5"/>
      <c r="E24" s="8" t="s">
        <v>90</v>
      </c>
      <c r="F24" s="5" t="s">
        <v>16</v>
      </c>
      <c r="G24" s="8" t="s">
        <v>252</v>
      </c>
      <c r="H24" s="5" t="s">
        <v>234</v>
      </c>
      <c r="I24" s="5" t="s">
        <v>288</v>
      </c>
      <c r="J24" s="39" t="n">
        <v>45796</v>
      </c>
      <c r="K24" s="8" t="n">
        <f aca="false">IF($J24="","",ROUND(($L$3-$J24)/30,1))</f>
        <v>14.2</v>
      </c>
      <c r="L24" s="40" t="n">
        <v>35</v>
      </c>
      <c r="M24" s="29" t="n">
        <v>6500000</v>
      </c>
      <c r="N24" s="6" t="s">
        <v>249</v>
      </c>
      <c r="O24" s="8" t="n">
        <v>1</v>
      </c>
      <c r="P24" s="8" t="n">
        <f aca="false">COUNTIF(ANAKAN!$I$6:$I$300,$B24)</f>
        <v>2</v>
      </c>
      <c r="Q24" s="8" t="n">
        <f aca="false">COUNTIFS(ANAKAN!$I$6:$I$300,$B24,ANAKAN!$N$6:$N$300,"Hidup")</f>
        <v>2</v>
      </c>
      <c r="R24" s="8" t="n">
        <f aca="false">COUNTIFS(ANAKAN!$I$6:$I$300,$B24,ANAKAN!$N$6:$N$300,"Mati")</f>
        <v>0</v>
      </c>
      <c r="S24" s="5"/>
      <c r="T24" s="26" t="s">
        <v>237</v>
      </c>
      <c r="U24" s="26"/>
      <c r="V24" s="26"/>
    </row>
    <row r="25" customFormat="false" ht="15" hidden="false" customHeight="true" outlineLevel="0" collapsed="false">
      <c r="A25" s="26" t="n">
        <v>20</v>
      </c>
      <c r="B25" s="16" t="s">
        <v>289</v>
      </c>
      <c r="C25" s="5" t="s">
        <v>289</v>
      </c>
      <c r="D25" s="5" t="s">
        <v>290</v>
      </c>
      <c r="E25" s="8" t="s">
        <v>90</v>
      </c>
      <c r="F25" s="5" t="s">
        <v>16</v>
      </c>
      <c r="G25" s="8" t="s">
        <v>252</v>
      </c>
      <c r="H25" s="5" t="s">
        <v>234</v>
      </c>
      <c r="I25" s="5" t="s">
        <v>291</v>
      </c>
      <c r="J25" s="39" t="n">
        <v>45796</v>
      </c>
      <c r="K25" s="8" t="n">
        <f aca="false">IF($J25="","",ROUND(($L$3-$J25)/30,1))</f>
        <v>14.2</v>
      </c>
      <c r="L25" s="40" t="n">
        <v>35</v>
      </c>
      <c r="M25" s="29" t="n">
        <v>6500000</v>
      </c>
      <c r="N25" s="6" t="s">
        <v>249</v>
      </c>
      <c r="O25" s="8" t="n">
        <v>1</v>
      </c>
      <c r="P25" s="8" t="n">
        <f aca="false">COUNTIF(ANAKAN!$I$6:$I$300,$B25)</f>
        <v>1</v>
      </c>
      <c r="Q25" s="8" t="n">
        <f aca="false">COUNTIFS(ANAKAN!$I$6:$I$300,$B25,ANAKAN!$N$6:$N$300,"Hidup")</f>
        <v>1</v>
      </c>
      <c r="R25" s="8" t="n">
        <f aca="false">COUNTIFS(ANAKAN!$I$6:$I$300,$B25,ANAKAN!$N$6:$N$300,"Mati")</f>
        <v>0</v>
      </c>
      <c r="S25" s="5"/>
      <c r="T25" s="26" t="s">
        <v>237</v>
      </c>
      <c r="U25" s="26"/>
      <c r="V25" s="26"/>
    </row>
    <row r="26" customFormat="false" ht="15" hidden="false" customHeight="true" outlineLevel="0" collapsed="false">
      <c r="A26" s="26" t="n">
        <v>21</v>
      </c>
      <c r="B26" s="16" t="s">
        <v>178</v>
      </c>
      <c r="C26" s="5" t="s">
        <v>178</v>
      </c>
      <c r="D26" s="5" t="s">
        <v>292</v>
      </c>
      <c r="E26" s="8" t="s">
        <v>91</v>
      </c>
      <c r="F26" s="5" t="s">
        <v>15</v>
      </c>
      <c r="G26" s="8" t="s">
        <v>233</v>
      </c>
      <c r="H26" s="5" t="s">
        <v>234</v>
      </c>
      <c r="I26" s="5" t="s">
        <v>293</v>
      </c>
      <c r="J26" s="39" t="n">
        <v>45554</v>
      </c>
      <c r="K26" s="8" t="n">
        <f aca="false">IF($J26="","",ROUND(($L$3-$J26)/30,1))</f>
        <v>22.3</v>
      </c>
      <c r="L26" s="40" t="n">
        <v>35</v>
      </c>
      <c r="M26" s="29" t="n">
        <v>5500000</v>
      </c>
      <c r="N26" s="6" t="s">
        <v>241</v>
      </c>
      <c r="O26" s="8" t="n">
        <v>1</v>
      </c>
      <c r="P26" s="8" t="n">
        <f aca="false">COUNTIF(ANAKAN!$I$6:$I$300,$B26)</f>
        <v>3</v>
      </c>
      <c r="Q26" s="8" t="n">
        <f aca="false">COUNTIFS(ANAKAN!$I$6:$I$300,$B26,ANAKAN!$N$6:$N$300,"Hidup")</f>
        <v>2</v>
      </c>
      <c r="R26" s="8" t="n">
        <f aca="false">COUNTIFS(ANAKAN!$I$6:$I$300,$B26,ANAKAN!$N$6:$N$300,"Mati")</f>
        <v>1</v>
      </c>
      <c r="S26" s="5"/>
      <c r="T26" s="26" t="s">
        <v>237</v>
      </c>
      <c r="U26" s="26"/>
      <c r="V26" s="26"/>
    </row>
    <row r="27" customFormat="false" ht="15" hidden="false" customHeight="true" outlineLevel="0" collapsed="false">
      <c r="A27" s="26" t="n">
        <v>22</v>
      </c>
      <c r="B27" s="16" t="s">
        <v>294</v>
      </c>
      <c r="C27" s="5" t="s">
        <v>294</v>
      </c>
      <c r="D27" s="5"/>
      <c r="E27" s="8" t="s">
        <v>91</v>
      </c>
      <c r="F27" s="5" t="s">
        <v>15</v>
      </c>
      <c r="G27" s="8" t="s">
        <v>233</v>
      </c>
      <c r="H27" s="5" t="s">
        <v>234</v>
      </c>
      <c r="I27" s="5" t="s">
        <v>253</v>
      </c>
      <c r="J27" s="39" t="n">
        <v>45554</v>
      </c>
      <c r="K27" s="8" t="n">
        <f aca="false">IF($J27="","",ROUND(($L$3-$J27)/30,1))</f>
        <v>22.3</v>
      </c>
      <c r="L27" s="40" t="n">
        <v>35</v>
      </c>
      <c r="M27" s="29" t="n">
        <v>5500000</v>
      </c>
      <c r="N27" s="6" t="s">
        <v>236</v>
      </c>
      <c r="O27" s="8" t="n">
        <v>1</v>
      </c>
      <c r="P27" s="8" t="n">
        <f aca="false">COUNTIF(ANAKAN!$I$6:$I$300,$B27)</f>
        <v>1</v>
      </c>
      <c r="Q27" s="8" t="n">
        <f aca="false">COUNTIFS(ANAKAN!$I$6:$I$300,$B27,ANAKAN!$N$6:$N$300,"Hidup")</f>
        <v>1</v>
      </c>
      <c r="R27" s="8" t="n">
        <f aca="false">COUNTIFS(ANAKAN!$I$6:$I$300,$B27,ANAKAN!$N$6:$N$300,"Mati")</f>
        <v>0</v>
      </c>
      <c r="S27" s="5"/>
      <c r="T27" s="26" t="s">
        <v>237</v>
      </c>
      <c r="U27" s="26"/>
      <c r="V27" s="26"/>
    </row>
    <row r="28" customFormat="false" ht="15" hidden="false" customHeight="true" outlineLevel="0" collapsed="false">
      <c r="A28" s="26" t="n">
        <v>23</v>
      </c>
      <c r="B28" s="16" t="s">
        <v>170</v>
      </c>
      <c r="C28" s="5" t="s">
        <v>170</v>
      </c>
      <c r="D28" s="5" t="s">
        <v>295</v>
      </c>
      <c r="E28" s="8" t="s">
        <v>91</v>
      </c>
      <c r="F28" s="5" t="s">
        <v>15</v>
      </c>
      <c r="G28" s="8" t="s">
        <v>233</v>
      </c>
      <c r="H28" s="5" t="s">
        <v>234</v>
      </c>
      <c r="I28" s="5" t="s">
        <v>296</v>
      </c>
      <c r="J28" s="39" t="n">
        <v>45554</v>
      </c>
      <c r="K28" s="8" t="n">
        <f aca="false">IF($J28="","",ROUND(($L$3-$J28)/30,1))</f>
        <v>22.3</v>
      </c>
      <c r="L28" s="40" t="n">
        <v>35</v>
      </c>
      <c r="M28" s="29" t="n">
        <v>5500000</v>
      </c>
      <c r="N28" s="6" t="s">
        <v>241</v>
      </c>
      <c r="O28" s="8" t="n">
        <v>3</v>
      </c>
      <c r="P28" s="8" t="n">
        <f aca="false">COUNTIF(ANAKAN!$I$6:$I$300,$B28)</f>
        <v>7</v>
      </c>
      <c r="Q28" s="8" t="n">
        <f aca="false">COUNTIFS(ANAKAN!$I$6:$I$300,$B28,ANAKAN!$N$6:$N$300,"Hidup")</f>
        <v>7</v>
      </c>
      <c r="R28" s="8" t="n">
        <f aca="false">COUNTIFS(ANAKAN!$I$6:$I$300,$B28,ANAKAN!$N$6:$N$300,"Mati")</f>
        <v>0</v>
      </c>
      <c r="S28" s="5"/>
      <c r="T28" s="26" t="s">
        <v>237</v>
      </c>
      <c r="U28" s="26"/>
      <c r="V28" s="26"/>
    </row>
    <row r="29" customFormat="false" ht="15" hidden="false" customHeight="true" outlineLevel="0" collapsed="false">
      <c r="A29" s="26" t="n">
        <v>24</v>
      </c>
      <c r="B29" s="16" t="s">
        <v>173</v>
      </c>
      <c r="C29" s="5" t="s">
        <v>173</v>
      </c>
      <c r="D29" s="5" t="s">
        <v>297</v>
      </c>
      <c r="E29" s="8" t="s">
        <v>91</v>
      </c>
      <c r="F29" s="5" t="s">
        <v>15</v>
      </c>
      <c r="G29" s="8" t="s">
        <v>233</v>
      </c>
      <c r="H29" s="5" t="s">
        <v>234</v>
      </c>
      <c r="I29" s="5" t="s">
        <v>298</v>
      </c>
      <c r="J29" s="39" t="n">
        <v>45554</v>
      </c>
      <c r="K29" s="8" t="n">
        <f aca="false">IF($J29="","",ROUND(($L$3-$J29)/30,1))</f>
        <v>22.3</v>
      </c>
      <c r="L29" s="40" t="n">
        <v>35</v>
      </c>
      <c r="M29" s="29" t="n">
        <v>5500000</v>
      </c>
      <c r="N29" s="6" t="s">
        <v>236</v>
      </c>
      <c r="O29" s="8" t="n">
        <v>2</v>
      </c>
      <c r="P29" s="8" t="n">
        <f aca="false">COUNTIF(ANAKAN!$I$6:$I$300,$B29)</f>
        <v>4</v>
      </c>
      <c r="Q29" s="8" t="n">
        <f aca="false">COUNTIFS(ANAKAN!$I$6:$I$300,$B29,ANAKAN!$N$6:$N$300,"Hidup")</f>
        <v>4</v>
      </c>
      <c r="R29" s="8" t="n">
        <f aca="false">COUNTIFS(ANAKAN!$I$6:$I$300,$B29,ANAKAN!$N$6:$N$300,"Mati")</f>
        <v>0</v>
      </c>
      <c r="S29" s="5"/>
      <c r="T29" s="26" t="s">
        <v>237</v>
      </c>
      <c r="U29" s="26"/>
      <c r="V29" s="26"/>
    </row>
    <row r="30" customFormat="false" ht="15" hidden="false" customHeight="true" outlineLevel="0" collapsed="false">
      <c r="A30" s="26" t="n">
        <v>25</v>
      </c>
      <c r="B30" s="16" t="s">
        <v>299</v>
      </c>
      <c r="C30" s="5" t="s">
        <v>299</v>
      </c>
      <c r="D30" s="5" t="s">
        <v>300</v>
      </c>
      <c r="E30" s="8" t="s">
        <v>91</v>
      </c>
      <c r="F30" s="5" t="s">
        <v>15</v>
      </c>
      <c r="G30" s="8" t="s">
        <v>233</v>
      </c>
      <c r="H30" s="5" t="s">
        <v>234</v>
      </c>
      <c r="I30" s="5" t="s">
        <v>301</v>
      </c>
      <c r="J30" s="39" t="n">
        <v>45554</v>
      </c>
      <c r="K30" s="8" t="n">
        <f aca="false">IF($J30="","",ROUND(($L$3-$J30)/30,1))</f>
        <v>22.3</v>
      </c>
      <c r="L30" s="40" t="n">
        <v>35</v>
      </c>
      <c r="M30" s="29" t="n">
        <v>5500000</v>
      </c>
      <c r="N30" s="6" t="s">
        <v>249</v>
      </c>
      <c r="O30" s="8" t="n">
        <v>2</v>
      </c>
      <c r="P30" s="8" t="n">
        <f aca="false">COUNTIF(ANAKAN!$I$6:$I$300,$B30)</f>
        <v>2</v>
      </c>
      <c r="Q30" s="8" t="n">
        <f aca="false">COUNTIFS(ANAKAN!$I$6:$I$300,$B30,ANAKAN!$N$6:$N$300,"Hidup")</f>
        <v>2</v>
      </c>
      <c r="R30" s="8" t="n">
        <f aca="false">COUNTIFS(ANAKAN!$I$6:$I$300,$B30,ANAKAN!$N$6:$N$300,"Mati")</f>
        <v>0</v>
      </c>
      <c r="S30" s="5"/>
      <c r="T30" s="26" t="s">
        <v>237</v>
      </c>
      <c r="U30" s="26"/>
      <c r="V30" s="26"/>
    </row>
    <row r="31" customFormat="false" ht="15" hidden="false" customHeight="true" outlineLevel="0" collapsed="false">
      <c r="A31" s="26" t="n">
        <v>26</v>
      </c>
      <c r="B31" s="16" t="s">
        <v>176</v>
      </c>
      <c r="C31" s="5" t="s">
        <v>176</v>
      </c>
      <c r="D31" s="5"/>
      <c r="E31" s="9" t="s">
        <v>92</v>
      </c>
      <c r="F31" s="5" t="s">
        <v>302</v>
      </c>
      <c r="G31" s="8" t="s">
        <v>123</v>
      </c>
      <c r="H31" s="5" t="s">
        <v>234</v>
      </c>
      <c r="I31" s="6"/>
      <c r="J31" s="41" t="n">
        <v>45554</v>
      </c>
      <c r="K31" s="8" t="n">
        <f aca="false">IF($J31="","",ROUND(($L$3-$J31)/30,1))</f>
        <v>22.3</v>
      </c>
      <c r="L31" s="40" t="n">
        <v>35</v>
      </c>
      <c r="M31" s="42" t="n">
        <v>4500000</v>
      </c>
      <c r="N31" s="6" t="s">
        <v>249</v>
      </c>
      <c r="O31" s="8" t="n">
        <v>2</v>
      </c>
      <c r="P31" s="8" t="n">
        <f aca="false">COUNTIF(ANAKAN!$I$6:$I$300,$B31)</f>
        <v>3</v>
      </c>
      <c r="Q31" s="8" t="n">
        <f aca="false">COUNTIFS(ANAKAN!$I$6:$I$300,$B31,ANAKAN!$N$6:$N$300,"Hidup")</f>
        <v>3</v>
      </c>
      <c r="R31" s="8" t="n">
        <f aca="false">COUNTIFS(ANAKAN!$I$6:$I$300,$B31,ANAKAN!$N$6:$N$300,"Mati")</f>
        <v>0</v>
      </c>
      <c r="S31" s="6"/>
      <c r="T31" s="26" t="s">
        <v>303</v>
      </c>
      <c r="U31" s="7" t="s">
        <v>304</v>
      </c>
      <c r="V31" s="26"/>
    </row>
    <row r="32" customFormat="false" ht="15" hidden="false" customHeight="true" outlineLevel="0" collapsed="false">
      <c r="A32" s="26" t="n">
        <v>27</v>
      </c>
      <c r="B32" s="16" t="s">
        <v>305</v>
      </c>
      <c r="C32" s="5" t="s">
        <v>305</v>
      </c>
      <c r="D32" s="5"/>
      <c r="E32" s="9" t="s">
        <v>92</v>
      </c>
      <c r="F32" s="5" t="s">
        <v>306</v>
      </c>
      <c r="G32" s="8" t="s">
        <v>307</v>
      </c>
      <c r="H32" s="5" t="s">
        <v>234</v>
      </c>
      <c r="I32" s="6"/>
      <c r="J32" s="41" t="n">
        <v>45554</v>
      </c>
      <c r="K32" s="8" t="n">
        <f aca="false">IF($J32="","",ROUND(($L$3-$J32)/30,1))</f>
        <v>22.3</v>
      </c>
      <c r="L32" s="40" t="n">
        <v>35</v>
      </c>
      <c r="M32" s="42" t="n">
        <v>4500000</v>
      </c>
      <c r="N32" s="6" t="s">
        <v>249</v>
      </c>
      <c r="O32" s="8" t="n">
        <v>1</v>
      </c>
      <c r="P32" s="8" t="n">
        <f aca="false">COUNTIF(ANAKAN!$I$6:$I$300,$B32)</f>
        <v>1</v>
      </c>
      <c r="Q32" s="8" t="n">
        <f aca="false">COUNTIFS(ANAKAN!$I$6:$I$300,$B32,ANAKAN!$N$6:$N$300,"Hidup")</f>
        <v>1</v>
      </c>
      <c r="R32" s="8" t="n">
        <f aca="false">COUNTIFS(ANAKAN!$I$6:$I$300,$B32,ANAKAN!$N$6:$N$300,"Mati")</f>
        <v>0</v>
      </c>
      <c r="S32" s="6"/>
      <c r="T32" s="26" t="s">
        <v>303</v>
      </c>
      <c r="U32" s="7" t="s">
        <v>304</v>
      </c>
      <c r="V32" s="26"/>
    </row>
    <row r="33" customFormat="false" ht="15" hidden="false" customHeight="true" outlineLevel="0" collapsed="false">
      <c r="A33" s="26" t="n">
        <v>28</v>
      </c>
      <c r="B33" s="16" t="s">
        <v>308</v>
      </c>
      <c r="C33" s="5" t="s">
        <v>308</v>
      </c>
      <c r="D33" s="5"/>
      <c r="E33" s="9" t="s">
        <v>92</v>
      </c>
      <c r="F33" s="5" t="s">
        <v>302</v>
      </c>
      <c r="G33" s="8" t="s">
        <v>123</v>
      </c>
      <c r="H33" s="5" t="s">
        <v>234</v>
      </c>
      <c r="I33" s="6"/>
      <c r="J33" s="41" t="n">
        <v>45554</v>
      </c>
      <c r="K33" s="8" t="n">
        <f aca="false">IF($J33="","",ROUND(($L$3-$J33)/30,1))</f>
        <v>22.3</v>
      </c>
      <c r="L33" s="40" t="n">
        <v>35</v>
      </c>
      <c r="M33" s="42" t="n">
        <v>4500000</v>
      </c>
      <c r="N33" s="6" t="s">
        <v>249</v>
      </c>
      <c r="O33" s="8" t="n">
        <v>2</v>
      </c>
      <c r="P33" s="8" t="n">
        <f aca="false">COUNTIF(ANAKAN!$I$6:$I$300,$B33)</f>
        <v>2</v>
      </c>
      <c r="Q33" s="8" t="n">
        <f aca="false">COUNTIFS(ANAKAN!$I$6:$I$300,$B33,ANAKAN!$N$6:$N$300,"Hidup")</f>
        <v>2</v>
      </c>
      <c r="R33" s="8" t="n">
        <f aca="false">COUNTIFS(ANAKAN!$I$6:$I$300,$B33,ANAKAN!$N$6:$N$300,"Mati")</f>
        <v>0</v>
      </c>
      <c r="S33" s="6"/>
      <c r="T33" s="26" t="s">
        <v>303</v>
      </c>
      <c r="U33" s="7" t="s">
        <v>304</v>
      </c>
      <c r="V33" s="26"/>
    </row>
    <row r="34" customFormat="false" ht="15" hidden="false" customHeight="true" outlineLevel="0" collapsed="false">
      <c r="A34" s="26" t="n">
        <v>29</v>
      </c>
      <c r="B34" s="16" t="s">
        <v>309</v>
      </c>
      <c r="C34" s="5" t="s">
        <v>309</v>
      </c>
      <c r="D34" s="5"/>
      <c r="E34" s="9" t="s">
        <v>92</v>
      </c>
      <c r="F34" s="5" t="s">
        <v>302</v>
      </c>
      <c r="G34" s="8" t="s">
        <v>123</v>
      </c>
      <c r="H34" s="5" t="s">
        <v>234</v>
      </c>
      <c r="I34" s="6"/>
      <c r="J34" s="41" t="n">
        <v>45554</v>
      </c>
      <c r="K34" s="8" t="n">
        <f aca="false">IF($J34="","",ROUND(($L$3-$J34)/30,1))</f>
        <v>22.3</v>
      </c>
      <c r="L34" s="40" t="n">
        <v>35</v>
      </c>
      <c r="M34" s="42" t="n">
        <v>4500000</v>
      </c>
      <c r="N34" s="6" t="s">
        <v>249</v>
      </c>
      <c r="O34" s="8" t="n">
        <v>1</v>
      </c>
      <c r="P34" s="8" t="n">
        <f aca="false">COUNTIF(ANAKAN!$I$6:$I$300,$B34)</f>
        <v>2</v>
      </c>
      <c r="Q34" s="8" t="n">
        <f aca="false">COUNTIFS(ANAKAN!$I$6:$I$300,$B34,ANAKAN!$N$6:$N$300,"Hidup")</f>
        <v>2</v>
      </c>
      <c r="R34" s="8" t="n">
        <f aca="false">COUNTIFS(ANAKAN!$I$6:$I$300,$B34,ANAKAN!$N$6:$N$300,"Mati")</f>
        <v>0</v>
      </c>
      <c r="S34" s="6"/>
      <c r="T34" s="26" t="s">
        <v>303</v>
      </c>
      <c r="U34" s="7" t="s">
        <v>304</v>
      </c>
      <c r="V34" s="26"/>
    </row>
    <row r="35" customFormat="false" ht="15" hidden="false" customHeight="true" outlineLevel="0" collapsed="false">
      <c r="A35" s="26" t="n">
        <v>30</v>
      </c>
      <c r="B35" s="16" t="s">
        <v>310</v>
      </c>
      <c r="C35" s="5" t="s">
        <v>310</v>
      </c>
      <c r="D35" s="5"/>
      <c r="E35" s="9" t="s">
        <v>92</v>
      </c>
      <c r="F35" s="5" t="s">
        <v>302</v>
      </c>
      <c r="G35" s="8" t="s">
        <v>123</v>
      </c>
      <c r="H35" s="5" t="s">
        <v>234</v>
      </c>
      <c r="I35" s="6"/>
      <c r="J35" s="41" t="n">
        <v>45554</v>
      </c>
      <c r="K35" s="8" t="n">
        <f aca="false">IF($J35="","",ROUND(($L$3-$J35)/30,1))</f>
        <v>22.3</v>
      </c>
      <c r="L35" s="40" t="n">
        <v>35</v>
      </c>
      <c r="M35" s="42" t="n">
        <v>4500000</v>
      </c>
      <c r="N35" s="6" t="s">
        <v>249</v>
      </c>
      <c r="O35" s="8" t="n">
        <v>1</v>
      </c>
      <c r="P35" s="8" t="n">
        <f aca="false">COUNTIF(ANAKAN!$I$6:$I$300,$B35)</f>
        <v>2</v>
      </c>
      <c r="Q35" s="8" t="n">
        <f aca="false">COUNTIFS(ANAKAN!$I$6:$I$300,$B35,ANAKAN!$N$6:$N$300,"Hidup")</f>
        <v>2</v>
      </c>
      <c r="R35" s="8" t="n">
        <f aca="false">COUNTIFS(ANAKAN!$I$6:$I$300,$B35,ANAKAN!$N$6:$N$300,"Mati")</f>
        <v>0</v>
      </c>
      <c r="S35" s="6"/>
      <c r="T35" s="26" t="s">
        <v>303</v>
      </c>
      <c r="U35" s="7" t="s">
        <v>304</v>
      </c>
      <c r="V35" s="26"/>
    </row>
    <row r="36" customFormat="false" ht="15" hidden="false" customHeight="true" outlineLevel="0" collapsed="false">
      <c r="A36" s="26" t="n">
        <v>31</v>
      </c>
      <c r="B36" s="16" t="s">
        <v>311</v>
      </c>
      <c r="C36" s="5" t="s">
        <v>311</v>
      </c>
      <c r="D36" s="5"/>
      <c r="E36" s="9" t="s">
        <v>92</v>
      </c>
      <c r="F36" s="5" t="s">
        <v>302</v>
      </c>
      <c r="G36" s="8" t="s">
        <v>123</v>
      </c>
      <c r="H36" s="5" t="s">
        <v>234</v>
      </c>
      <c r="I36" s="6"/>
      <c r="J36" s="41" t="n">
        <v>45554</v>
      </c>
      <c r="K36" s="8" t="n">
        <f aca="false">IF($J36="","",ROUND(($L$3-$J36)/30,1))</f>
        <v>22.3</v>
      </c>
      <c r="L36" s="40" t="n">
        <v>35</v>
      </c>
      <c r="M36" s="42" t="n">
        <v>4500000</v>
      </c>
      <c r="N36" s="6" t="s">
        <v>249</v>
      </c>
      <c r="O36" s="8" t="n">
        <v>1</v>
      </c>
      <c r="P36" s="8" t="n">
        <f aca="false">COUNTIF(ANAKAN!$I$6:$I$300,$B36)</f>
        <v>1</v>
      </c>
      <c r="Q36" s="8" t="n">
        <f aca="false">COUNTIFS(ANAKAN!$I$6:$I$300,$B36,ANAKAN!$N$6:$N$300,"Hidup")</f>
        <v>1</v>
      </c>
      <c r="R36" s="8" t="n">
        <f aca="false">COUNTIFS(ANAKAN!$I$6:$I$300,$B36,ANAKAN!$N$6:$N$300,"Mati")</f>
        <v>0</v>
      </c>
      <c r="S36" s="6"/>
      <c r="T36" s="26" t="s">
        <v>303</v>
      </c>
      <c r="U36" s="7" t="s">
        <v>304</v>
      </c>
      <c r="V36" s="26"/>
    </row>
    <row r="37" customFormat="false" ht="15" hidden="false" customHeight="true" outlineLevel="0" collapsed="false">
      <c r="A37" s="26" t="n">
        <v>32</v>
      </c>
      <c r="B37" s="16" t="s">
        <v>312</v>
      </c>
      <c r="C37" s="5" t="s">
        <v>312</v>
      </c>
      <c r="D37" s="5"/>
      <c r="E37" s="9" t="s">
        <v>92</v>
      </c>
      <c r="F37" s="5" t="s">
        <v>302</v>
      </c>
      <c r="G37" s="8" t="s">
        <v>123</v>
      </c>
      <c r="H37" s="5" t="s">
        <v>234</v>
      </c>
      <c r="I37" s="6"/>
      <c r="J37" s="41" t="n">
        <v>45554</v>
      </c>
      <c r="K37" s="8" t="n">
        <f aca="false">IF($J37="","",ROUND(($L$3-$J37)/30,1))</f>
        <v>22.3</v>
      </c>
      <c r="L37" s="40" t="n">
        <v>35</v>
      </c>
      <c r="M37" s="42" t="n">
        <v>4500000</v>
      </c>
      <c r="N37" s="6" t="s">
        <v>249</v>
      </c>
      <c r="O37" s="8" t="n">
        <v>1</v>
      </c>
      <c r="P37" s="8" t="n">
        <f aca="false">COUNTIF(ANAKAN!$I$6:$I$300,$B37)</f>
        <v>1</v>
      </c>
      <c r="Q37" s="8" t="n">
        <f aca="false">COUNTIFS(ANAKAN!$I$6:$I$300,$B37,ANAKAN!$N$6:$N$300,"Hidup")</f>
        <v>1</v>
      </c>
      <c r="R37" s="8" t="n">
        <f aca="false">COUNTIFS(ANAKAN!$I$6:$I$300,$B37,ANAKAN!$N$6:$N$300,"Mati")</f>
        <v>0</v>
      </c>
      <c r="S37" s="6"/>
      <c r="T37" s="26" t="s">
        <v>303</v>
      </c>
      <c r="U37" s="7" t="s">
        <v>304</v>
      </c>
      <c r="V37" s="26"/>
    </row>
    <row r="38" customFormat="false" ht="15" hidden="false" customHeight="true" outlineLevel="0" collapsed="false">
      <c r="A38" s="26" t="n">
        <v>33</v>
      </c>
      <c r="B38" s="16" t="s">
        <v>179</v>
      </c>
      <c r="C38" s="5" t="s">
        <v>179</v>
      </c>
      <c r="D38" s="5"/>
      <c r="E38" s="9" t="s">
        <v>92</v>
      </c>
      <c r="F38" s="5" t="s">
        <v>15</v>
      </c>
      <c r="G38" s="8" t="s">
        <v>233</v>
      </c>
      <c r="H38" s="5" t="s">
        <v>234</v>
      </c>
      <c r="I38" s="6"/>
      <c r="J38" s="41" t="n">
        <v>45554</v>
      </c>
      <c r="K38" s="8" t="n">
        <f aca="false">IF($J38="","",ROUND(($L$3-$J38)/30,1))</f>
        <v>22.3</v>
      </c>
      <c r="L38" s="40" t="n">
        <v>35</v>
      </c>
      <c r="M38" s="42" t="n">
        <v>5500000</v>
      </c>
      <c r="N38" s="6" t="s">
        <v>249</v>
      </c>
      <c r="O38" s="8" t="n">
        <v>1</v>
      </c>
      <c r="P38" s="8" t="n">
        <f aca="false">COUNTIF(ANAKAN!$I$6:$I$300,$B38)</f>
        <v>3</v>
      </c>
      <c r="Q38" s="8" t="n">
        <f aca="false">COUNTIFS(ANAKAN!$I$6:$I$300,$B38,ANAKAN!$N$6:$N$300,"Hidup")</f>
        <v>3</v>
      </c>
      <c r="R38" s="8" t="n">
        <f aca="false">COUNTIFS(ANAKAN!$I$6:$I$300,$B38,ANAKAN!$N$6:$N$300,"Mati")</f>
        <v>0</v>
      </c>
      <c r="S38" s="6"/>
      <c r="T38" s="26" t="s">
        <v>303</v>
      </c>
      <c r="U38" s="7" t="s">
        <v>304</v>
      </c>
      <c r="V38" s="26"/>
    </row>
    <row r="39" customFormat="false" ht="15" hidden="false" customHeight="true" outlineLevel="0" collapsed="false">
      <c r="A39" s="26" t="n">
        <v>34</v>
      </c>
      <c r="B39" s="16" t="s">
        <v>174</v>
      </c>
      <c r="C39" s="5" t="s">
        <v>174</v>
      </c>
      <c r="D39" s="5"/>
      <c r="E39" s="9" t="s">
        <v>92</v>
      </c>
      <c r="F39" s="5" t="s">
        <v>302</v>
      </c>
      <c r="G39" s="8" t="s">
        <v>123</v>
      </c>
      <c r="H39" s="5" t="s">
        <v>234</v>
      </c>
      <c r="I39" s="6"/>
      <c r="J39" s="41" t="n">
        <v>45554</v>
      </c>
      <c r="K39" s="8" t="n">
        <f aca="false">IF($J39="","",ROUND(($L$3-$J39)/30,1))</f>
        <v>22.3</v>
      </c>
      <c r="L39" s="40" t="n">
        <v>35</v>
      </c>
      <c r="M39" s="42" t="n">
        <v>4500000</v>
      </c>
      <c r="N39" s="6" t="s">
        <v>249</v>
      </c>
      <c r="O39" s="8" t="n">
        <v>2</v>
      </c>
      <c r="P39" s="8" t="n">
        <f aca="false">COUNTIF(ANAKAN!$I$6:$I$300,$B39)</f>
        <v>4</v>
      </c>
      <c r="Q39" s="8" t="n">
        <f aca="false">COUNTIFS(ANAKAN!$I$6:$I$300,$B39,ANAKAN!$N$6:$N$300,"Hidup")</f>
        <v>4</v>
      </c>
      <c r="R39" s="8" t="n">
        <f aca="false">COUNTIFS(ANAKAN!$I$6:$I$300,$B39,ANAKAN!$N$6:$N$300,"Mati")</f>
        <v>0</v>
      </c>
      <c r="S39" s="6"/>
      <c r="T39" s="26" t="s">
        <v>303</v>
      </c>
      <c r="U39" s="7" t="s">
        <v>304</v>
      </c>
      <c r="V39" s="26"/>
    </row>
    <row r="40" customFormat="false" ht="15" hidden="false" customHeight="true" outlineLevel="0" collapsed="false">
      <c r="A40" s="26" t="n">
        <v>35</v>
      </c>
      <c r="B40" s="16" t="s">
        <v>313</v>
      </c>
      <c r="C40" s="5" t="s">
        <v>313</v>
      </c>
      <c r="D40" s="5"/>
      <c r="E40" s="9" t="s">
        <v>92</v>
      </c>
      <c r="F40" s="5" t="s">
        <v>302</v>
      </c>
      <c r="G40" s="8" t="s">
        <v>123</v>
      </c>
      <c r="H40" s="5" t="s">
        <v>234</v>
      </c>
      <c r="I40" s="6"/>
      <c r="J40" s="41" t="n">
        <v>45554</v>
      </c>
      <c r="K40" s="8" t="n">
        <f aca="false">IF($J40="","",ROUND(($L$3-$J40)/30,1))</f>
        <v>22.3</v>
      </c>
      <c r="L40" s="40" t="n">
        <v>35</v>
      </c>
      <c r="M40" s="42" t="n">
        <v>4500000</v>
      </c>
      <c r="N40" s="6" t="s">
        <v>249</v>
      </c>
      <c r="O40" s="8" t="n">
        <v>1</v>
      </c>
      <c r="P40" s="8" t="n">
        <f aca="false">COUNTIF(ANAKAN!$I$6:$I$300,$B40)</f>
        <v>1</v>
      </c>
      <c r="Q40" s="8" t="n">
        <f aca="false">COUNTIFS(ANAKAN!$I$6:$I$300,$B40,ANAKAN!$N$6:$N$300,"Hidup")</f>
        <v>1</v>
      </c>
      <c r="R40" s="8" t="n">
        <f aca="false">COUNTIFS(ANAKAN!$I$6:$I$300,$B40,ANAKAN!$N$6:$N$300,"Mati")</f>
        <v>0</v>
      </c>
      <c r="S40" s="6"/>
      <c r="T40" s="26" t="s">
        <v>303</v>
      </c>
      <c r="U40" s="7" t="s">
        <v>304</v>
      </c>
      <c r="V40" s="26"/>
    </row>
    <row r="41" customFormat="false" ht="15" hidden="false" customHeight="true" outlineLevel="0" collapsed="false">
      <c r="A41" s="26" t="n">
        <v>36</v>
      </c>
      <c r="B41" s="16" t="s">
        <v>314</v>
      </c>
      <c r="C41" s="5" t="s">
        <v>314</v>
      </c>
      <c r="D41" s="5"/>
      <c r="E41" s="9" t="s">
        <v>92</v>
      </c>
      <c r="F41" s="5" t="s">
        <v>302</v>
      </c>
      <c r="G41" s="8" t="s">
        <v>123</v>
      </c>
      <c r="H41" s="5" t="s">
        <v>234</v>
      </c>
      <c r="I41" s="6"/>
      <c r="J41" s="41" t="n">
        <v>45554</v>
      </c>
      <c r="K41" s="8" t="n">
        <f aca="false">IF($J41="","",ROUND(($L$3-$J41)/30,1))</f>
        <v>22.3</v>
      </c>
      <c r="L41" s="40" t="n">
        <v>35</v>
      </c>
      <c r="M41" s="42" t="n">
        <v>4500000</v>
      </c>
      <c r="N41" s="6" t="s">
        <v>249</v>
      </c>
      <c r="O41" s="8" t="n">
        <v>1</v>
      </c>
      <c r="P41" s="8" t="n">
        <f aca="false">COUNTIF(ANAKAN!$I$6:$I$300,$B41)</f>
        <v>1</v>
      </c>
      <c r="Q41" s="8" t="n">
        <f aca="false">COUNTIFS(ANAKAN!$I$6:$I$300,$B41,ANAKAN!$N$6:$N$300,"Hidup")</f>
        <v>1</v>
      </c>
      <c r="R41" s="8" t="n">
        <f aca="false">COUNTIFS(ANAKAN!$I$6:$I$300,$B41,ANAKAN!$N$6:$N$300,"Mati")</f>
        <v>0</v>
      </c>
      <c r="S41" s="6"/>
      <c r="T41" s="26" t="s">
        <v>303</v>
      </c>
      <c r="U41" s="7" t="s">
        <v>304</v>
      </c>
      <c r="V41" s="26"/>
    </row>
    <row r="42" customFormat="false" ht="15" hidden="false" customHeight="true" outlineLevel="0" collapsed="false">
      <c r="A42" s="26" t="n">
        <v>37</v>
      </c>
      <c r="B42" s="16" t="s">
        <v>315</v>
      </c>
      <c r="C42" s="5" t="s">
        <v>315</v>
      </c>
      <c r="D42" s="5"/>
      <c r="E42" s="9" t="s">
        <v>92</v>
      </c>
      <c r="F42" s="5" t="s">
        <v>302</v>
      </c>
      <c r="G42" s="8" t="s">
        <v>123</v>
      </c>
      <c r="H42" s="5" t="s">
        <v>234</v>
      </c>
      <c r="I42" s="6"/>
      <c r="J42" s="41" t="n">
        <v>45554</v>
      </c>
      <c r="K42" s="8" t="n">
        <f aca="false">IF($J42="","",ROUND(($L$3-$J42)/30,1))</f>
        <v>22.3</v>
      </c>
      <c r="L42" s="40" t="n">
        <v>35</v>
      </c>
      <c r="M42" s="42" t="n">
        <v>4500000</v>
      </c>
      <c r="N42" s="6" t="s">
        <v>249</v>
      </c>
      <c r="O42" s="8" t="n">
        <v>1</v>
      </c>
      <c r="P42" s="8" t="n">
        <f aca="false">COUNTIF(ANAKAN!$I$6:$I$300,$B42)</f>
        <v>1</v>
      </c>
      <c r="Q42" s="8" t="n">
        <f aca="false">COUNTIFS(ANAKAN!$I$6:$I$300,$B42,ANAKAN!$N$6:$N$300,"Hidup")</f>
        <v>1</v>
      </c>
      <c r="R42" s="8" t="n">
        <f aca="false">COUNTIFS(ANAKAN!$I$6:$I$300,$B42,ANAKAN!$N$6:$N$300,"Mati")</f>
        <v>0</v>
      </c>
      <c r="S42" s="6"/>
      <c r="T42" s="26" t="s">
        <v>303</v>
      </c>
      <c r="U42" s="7" t="s">
        <v>304</v>
      </c>
      <c r="V42" s="26"/>
    </row>
    <row r="43" customFormat="false" ht="15" hidden="false" customHeight="true" outlineLevel="0" collapsed="false">
      <c r="A43" s="26" t="n">
        <v>38</v>
      </c>
      <c r="B43" s="16" t="s">
        <v>171</v>
      </c>
      <c r="C43" s="5" t="s">
        <v>171</v>
      </c>
      <c r="D43" s="5"/>
      <c r="E43" s="9" t="s">
        <v>92</v>
      </c>
      <c r="F43" s="5" t="s">
        <v>302</v>
      </c>
      <c r="G43" s="8" t="s">
        <v>123</v>
      </c>
      <c r="H43" s="5" t="s">
        <v>234</v>
      </c>
      <c r="I43" s="6"/>
      <c r="J43" s="41" t="n">
        <v>45554</v>
      </c>
      <c r="K43" s="8" t="n">
        <f aca="false">IF($J43="","",ROUND(($L$3-$J43)/30,1))</f>
        <v>22.3</v>
      </c>
      <c r="L43" s="40" t="n">
        <v>35</v>
      </c>
      <c r="M43" s="42" t="n">
        <v>4500000</v>
      </c>
      <c r="N43" s="6" t="s">
        <v>249</v>
      </c>
      <c r="O43" s="8" t="n">
        <v>3</v>
      </c>
      <c r="P43" s="8" t="n">
        <f aca="false">COUNTIF(ANAKAN!$I$6:$I$300,$B43)</f>
        <v>6</v>
      </c>
      <c r="Q43" s="8" t="n">
        <f aca="false">COUNTIFS(ANAKAN!$I$6:$I$300,$B43,ANAKAN!$N$6:$N$300,"Hidup")</f>
        <v>6</v>
      </c>
      <c r="R43" s="8" t="n">
        <f aca="false">COUNTIFS(ANAKAN!$I$6:$I$300,$B43,ANAKAN!$N$6:$N$300,"Mati")</f>
        <v>0</v>
      </c>
      <c r="S43" s="6"/>
      <c r="T43" s="26" t="s">
        <v>303</v>
      </c>
      <c r="U43" s="7" t="s">
        <v>304</v>
      </c>
      <c r="V43" s="26"/>
    </row>
    <row r="44" customFormat="false" ht="15" hidden="false" customHeight="true" outlineLevel="0" collapsed="false">
      <c r="A44" s="26" t="n">
        <v>39</v>
      </c>
      <c r="B44" s="16" t="s">
        <v>316</v>
      </c>
      <c r="C44" s="5" t="s">
        <v>316</v>
      </c>
      <c r="D44" s="5"/>
      <c r="E44" s="9" t="s">
        <v>92</v>
      </c>
      <c r="F44" s="5" t="s">
        <v>302</v>
      </c>
      <c r="G44" s="8" t="s">
        <v>123</v>
      </c>
      <c r="H44" s="5" t="s">
        <v>234</v>
      </c>
      <c r="I44" s="6"/>
      <c r="J44" s="41" t="n">
        <v>45554</v>
      </c>
      <c r="K44" s="8" t="n">
        <f aca="false">IF($J44="","",ROUND(($L$3-$J44)/30,1))</f>
        <v>22.3</v>
      </c>
      <c r="L44" s="40" t="n">
        <v>35</v>
      </c>
      <c r="M44" s="42" t="n">
        <v>4500000</v>
      </c>
      <c r="N44" s="6" t="s">
        <v>249</v>
      </c>
      <c r="O44" s="8" t="n">
        <v>1</v>
      </c>
      <c r="P44" s="8" t="n">
        <f aca="false">COUNTIF(ANAKAN!$I$6:$I$300,$B44)</f>
        <v>1</v>
      </c>
      <c r="Q44" s="8" t="n">
        <f aca="false">COUNTIFS(ANAKAN!$I$6:$I$300,$B44,ANAKAN!$N$6:$N$300,"Hidup")</f>
        <v>1</v>
      </c>
      <c r="R44" s="8" t="n">
        <f aca="false">COUNTIFS(ANAKAN!$I$6:$I$300,$B44,ANAKAN!$N$6:$N$300,"Mati")</f>
        <v>0</v>
      </c>
      <c r="S44" s="6"/>
      <c r="T44" s="26" t="s">
        <v>303</v>
      </c>
      <c r="U44" s="7" t="s">
        <v>304</v>
      </c>
      <c r="V44" s="26"/>
    </row>
    <row r="45" customFormat="false" ht="15" hidden="false" customHeight="true" outlineLevel="0" collapsed="false">
      <c r="A45" s="26" t="n">
        <v>40</v>
      </c>
      <c r="B45" s="16" t="s">
        <v>317</v>
      </c>
      <c r="C45" s="5" t="s">
        <v>317</v>
      </c>
      <c r="D45" s="5"/>
      <c r="E45" s="9" t="s">
        <v>92</v>
      </c>
      <c r="F45" s="5" t="s">
        <v>15</v>
      </c>
      <c r="G45" s="8" t="s">
        <v>233</v>
      </c>
      <c r="H45" s="5" t="s">
        <v>234</v>
      </c>
      <c r="I45" s="6"/>
      <c r="J45" s="41" t="n">
        <v>45554</v>
      </c>
      <c r="K45" s="8" t="n">
        <f aca="false">IF($J45="","",ROUND(($L$3-$J45)/30,1))</f>
        <v>22.3</v>
      </c>
      <c r="L45" s="40" t="n">
        <v>35</v>
      </c>
      <c r="M45" s="42" t="n">
        <v>5500000</v>
      </c>
      <c r="N45" s="6" t="s">
        <v>249</v>
      </c>
      <c r="O45" s="8" t="n">
        <v>1</v>
      </c>
      <c r="P45" s="8" t="n">
        <f aca="false">COUNTIF(ANAKAN!$I$6:$I$300,$B45)</f>
        <v>1</v>
      </c>
      <c r="Q45" s="8" t="n">
        <f aca="false">COUNTIFS(ANAKAN!$I$6:$I$300,$B45,ANAKAN!$N$6:$N$300,"Hidup")</f>
        <v>1</v>
      </c>
      <c r="R45" s="8" t="n">
        <f aca="false">COUNTIFS(ANAKAN!$I$6:$I$300,$B45,ANAKAN!$N$6:$N$300,"Mati")</f>
        <v>0</v>
      </c>
      <c r="S45" s="6"/>
      <c r="T45" s="26" t="s">
        <v>303</v>
      </c>
      <c r="U45" s="7" t="s">
        <v>304</v>
      </c>
      <c r="V45" s="26"/>
    </row>
    <row r="46" customFormat="false" ht="15" hidden="false" customHeight="true" outlineLevel="0" collapsed="false">
      <c r="A46" s="26" t="n">
        <v>41</v>
      </c>
      <c r="B46" s="16" t="s">
        <v>318</v>
      </c>
      <c r="C46" s="5" t="s">
        <v>318</v>
      </c>
      <c r="D46" s="5"/>
      <c r="E46" s="9" t="s">
        <v>92</v>
      </c>
      <c r="F46" s="5" t="s">
        <v>15</v>
      </c>
      <c r="G46" s="8" t="s">
        <v>233</v>
      </c>
      <c r="H46" s="5" t="s">
        <v>234</v>
      </c>
      <c r="I46" s="6"/>
      <c r="J46" s="41" t="n">
        <v>45554</v>
      </c>
      <c r="K46" s="8" t="n">
        <f aca="false">IF($J46="","",ROUND(($L$3-$J46)/30,1))</f>
        <v>22.3</v>
      </c>
      <c r="L46" s="40" t="n">
        <v>35</v>
      </c>
      <c r="M46" s="42" t="n">
        <v>5500000</v>
      </c>
      <c r="N46" s="6" t="s">
        <v>249</v>
      </c>
      <c r="O46" s="8" t="n">
        <v>1</v>
      </c>
      <c r="P46" s="8" t="n">
        <f aca="false">COUNTIF(ANAKAN!$I$6:$I$300,$B46)</f>
        <v>2</v>
      </c>
      <c r="Q46" s="8" t="n">
        <f aca="false">COUNTIFS(ANAKAN!$I$6:$I$300,$B46,ANAKAN!$N$6:$N$300,"Hidup")</f>
        <v>2</v>
      </c>
      <c r="R46" s="8" t="n">
        <f aca="false">COUNTIFS(ANAKAN!$I$6:$I$300,$B46,ANAKAN!$N$6:$N$300,"Mati")</f>
        <v>0</v>
      </c>
      <c r="S46" s="6"/>
      <c r="T46" s="26" t="s">
        <v>303</v>
      </c>
      <c r="U46" s="7" t="s">
        <v>304</v>
      </c>
      <c r="V46" s="26"/>
    </row>
    <row r="47" customFormat="false" ht="15" hidden="false" customHeight="true" outlineLevel="0" collapsed="false">
      <c r="A47" s="26" t="n">
        <v>42</v>
      </c>
      <c r="B47" s="16" t="s">
        <v>319</v>
      </c>
      <c r="C47" s="5" t="s">
        <v>319</v>
      </c>
      <c r="D47" s="5"/>
      <c r="E47" s="9" t="s">
        <v>92</v>
      </c>
      <c r="F47" s="5" t="s">
        <v>302</v>
      </c>
      <c r="G47" s="8" t="s">
        <v>123</v>
      </c>
      <c r="H47" s="5" t="s">
        <v>234</v>
      </c>
      <c r="I47" s="6"/>
      <c r="J47" s="41" t="n">
        <v>45554</v>
      </c>
      <c r="K47" s="8" t="n">
        <f aca="false">IF($J47="","",ROUND(($L$3-$J47)/30,1))</f>
        <v>22.3</v>
      </c>
      <c r="L47" s="40" t="n">
        <v>35</v>
      </c>
      <c r="M47" s="42" t="n">
        <v>4500000</v>
      </c>
      <c r="N47" s="6" t="s">
        <v>249</v>
      </c>
      <c r="O47" s="8" t="n">
        <v>1</v>
      </c>
      <c r="P47" s="8" t="n">
        <f aca="false">COUNTIF(ANAKAN!$I$6:$I$300,$B47)</f>
        <v>1</v>
      </c>
      <c r="Q47" s="8" t="n">
        <f aca="false">COUNTIFS(ANAKAN!$I$6:$I$300,$B47,ANAKAN!$N$6:$N$300,"Hidup")</f>
        <v>1</v>
      </c>
      <c r="R47" s="8" t="n">
        <f aca="false">COUNTIFS(ANAKAN!$I$6:$I$300,$B47,ANAKAN!$N$6:$N$300,"Mati")</f>
        <v>0</v>
      </c>
      <c r="S47" s="6"/>
      <c r="T47" s="26" t="s">
        <v>303</v>
      </c>
      <c r="U47" s="7" t="s">
        <v>304</v>
      </c>
      <c r="V47" s="26"/>
    </row>
    <row r="48" customFormat="false" ht="15" hidden="false" customHeight="true" outlineLevel="0" collapsed="false">
      <c r="A48" s="26" t="n">
        <v>43</v>
      </c>
      <c r="B48" s="16" t="s">
        <v>320</v>
      </c>
      <c r="C48" s="5" t="s">
        <v>320</v>
      </c>
      <c r="D48" s="5"/>
      <c r="E48" s="9" t="s">
        <v>92</v>
      </c>
      <c r="F48" s="5" t="s">
        <v>302</v>
      </c>
      <c r="G48" s="8" t="s">
        <v>123</v>
      </c>
      <c r="H48" s="5" t="s">
        <v>234</v>
      </c>
      <c r="I48" s="6"/>
      <c r="J48" s="41" t="n">
        <v>45554</v>
      </c>
      <c r="K48" s="8" t="n">
        <f aca="false">IF($J48="","",ROUND(($L$3-$J48)/30,1))</f>
        <v>22.3</v>
      </c>
      <c r="L48" s="40" t="n">
        <v>35</v>
      </c>
      <c r="M48" s="42" t="n">
        <v>4500000</v>
      </c>
      <c r="N48" s="6" t="s">
        <v>249</v>
      </c>
      <c r="O48" s="8" t="n">
        <v>1</v>
      </c>
      <c r="P48" s="8" t="n">
        <f aca="false">COUNTIF(ANAKAN!$I$6:$I$300,$B48)</f>
        <v>2</v>
      </c>
      <c r="Q48" s="8" t="n">
        <f aca="false">COUNTIFS(ANAKAN!$I$6:$I$300,$B48,ANAKAN!$N$6:$N$300,"Hidup")</f>
        <v>2</v>
      </c>
      <c r="R48" s="8" t="n">
        <f aca="false">COUNTIFS(ANAKAN!$I$6:$I$300,$B48,ANAKAN!$N$6:$N$300,"Mati")</f>
        <v>0</v>
      </c>
      <c r="S48" s="6"/>
      <c r="T48" s="26" t="s">
        <v>303</v>
      </c>
      <c r="U48" s="7" t="s">
        <v>304</v>
      </c>
      <c r="V48" s="26"/>
    </row>
    <row r="49" customFormat="false" ht="15" hidden="false" customHeight="true" outlineLevel="0" collapsed="false">
      <c r="A49" s="26" t="n">
        <v>44</v>
      </c>
      <c r="B49" s="16" t="s">
        <v>321</v>
      </c>
      <c r="C49" s="5" t="s">
        <v>321</v>
      </c>
      <c r="D49" s="5"/>
      <c r="E49" s="9" t="s">
        <v>92</v>
      </c>
      <c r="F49" s="5" t="s">
        <v>302</v>
      </c>
      <c r="G49" s="8" t="s">
        <v>123</v>
      </c>
      <c r="H49" s="5" t="s">
        <v>234</v>
      </c>
      <c r="I49" s="6"/>
      <c r="J49" s="41" t="n">
        <v>45554</v>
      </c>
      <c r="K49" s="8" t="n">
        <f aca="false">IF($J49="","",ROUND(($L$3-$J49)/30,1))</f>
        <v>22.3</v>
      </c>
      <c r="L49" s="40" t="n">
        <v>35</v>
      </c>
      <c r="M49" s="42" t="n">
        <v>4500000</v>
      </c>
      <c r="N49" s="6" t="s">
        <v>249</v>
      </c>
      <c r="O49" s="8" t="n">
        <v>1</v>
      </c>
      <c r="P49" s="8" t="n">
        <f aca="false">COUNTIF(ANAKAN!$I$6:$I$300,$B49)</f>
        <v>1</v>
      </c>
      <c r="Q49" s="8" t="n">
        <f aca="false">COUNTIFS(ANAKAN!$I$6:$I$300,$B49,ANAKAN!$N$6:$N$300,"Hidup")</f>
        <v>1</v>
      </c>
      <c r="R49" s="8" t="n">
        <f aca="false">COUNTIFS(ANAKAN!$I$6:$I$300,$B49,ANAKAN!$N$6:$N$300,"Mati")</f>
        <v>0</v>
      </c>
      <c r="S49" s="6"/>
      <c r="T49" s="26" t="s">
        <v>303</v>
      </c>
      <c r="U49" s="7" t="s">
        <v>304</v>
      </c>
      <c r="V49" s="26"/>
    </row>
    <row r="50" customFormat="false" ht="15" hidden="false" customHeight="true" outlineLevel="0" collapsed="false">
      <c r="A50" s="26" t="n">
        <v>45</v>
      </c>
      <c r="B50" s="16" t="s">
        <v>322</v>
      </c>
      <c r="C50" s="5" t="s">
        <v>323</v>
      </c>
      <c r="D50" s="5"/>
      <c r="E50" s="9" t="s">
        <v>92</v>
      </c>
      <c r="F50" s="5" t="s">
        <v>302</v>
      </c>
      <c r="G50" s="8" t="s">
        <v>123</v>
      </c>
      <c r="H50" s="5" t="s">
        <v>234</v>
      </c>
      <c r="I50" s="6"/>
      <c r="J50" s="41" t="n">
        <v>45554</v>
      </c>
      <c r="K50" s="8" t="n">
        <f aca="false">IF($J50="","",ROUND(($L$3-$J50)/30,1))</f>
        <v>22.3</v>
      </c>
      <c r="L50" s="40" t="n">
        <v>35</v>
      </c>
      <c r="M50" s="42" t="n">
        <v>4500000</v>
      </c>
      <c r="N50" s="6" t="s">
        <v>249</v>
      </c>
      <c r="O50" s="8" t="n">
        <v>1</v>
      </c>
      <c r="P50" s="8" t="n">
        <f aca="false">COUNTIF(ANAKAN!$I$6:$I$300,$B50)</f>
        <v>1</v>
      </c>
      <c r="Q50" s="8" t="n">
        <f aca="false">COUNTIFS(ANAKAN!$I$6:$I$300,$B50,ANAKAN!$N$6:$N$300,"Hidup")</f>
        <v>1</v>
      </c>
      <c r="R50" s="8" t="n">
        <f aca="false">COUNTIFS(ANAKAN!$I$6:$I$300,$B50,ANAKAN!$N$6:$N$300,"Mati")</f>
        <v>0</v>
      </c>
      <c r="S50" s="6"/>
      <c r="T50" s="26" t="s">
        <v>303</v>
      </c>
      <c r="U50" s="7" t="s">
        <v>304</v>
      </c>
      <c r="V50" s="26"/>
    </row>
    <row r="51" customFormat="false" ht="15" hidden="false" customHeight="true" outlineLevel="0" collapsed="false">
      <c r="A51" s="26" t="n">
        <v>46</v>
      </c>
      <c r="B51" s="16" t="s">
        <v>324</v>
      </c>
      <c r="C51" s="5" t="s">
        <v>324</v>
      </c>
      <c r="D51" s="5"/>
      <c r="E51" s="9" t="s">
        <v>92</v>
      </c>
      <c r="F51" s="5" t="s">
        <v>15</v>
      </c>
      <c r="G51" s="8" t="s">
        <v>233</v>
      </c>
      <c r="H51" s="5" t="s">
        <v>234</v>
      </c>
      <c r="I51" s="6"/>
      <c r="J51" s="41" t="n">
        <v>45554</v>
      </c>
      <c r="K51" s="8" t="n">
        <f aca="false">IF($J51="","",ROUND(($L$3-$J51)/30,1))</f>
        <v>22.3</v>
      </c>
      <c r="L51" s="40" t="n">
        <v>35</v>
      </c>
      <c r="M51" s="42" t="n">
        <v>5500000</v>
      </c>
      <c r="N51" s="6" t="s">
        <v>249</v>
      </c>
      <c r="O51" s="8" t="n">
        <v>1</v>
      </c>
      <c r="P51" s="8" t="n">
        <f aca="false">COUNTIF(ANAKAN!$I$6:$I$300,$B51)</f>
        <v>1</v>
      </c>
      <c r="Q51" s="8" t="n">
        <f aca="false">COUNTIFS(ANAKAN!$I$6:$I$300,$B51,ANAKAN!$N$6:$N$300,"Hidup")</f>
        <v>1</v>
      </c>
      <c r="R51" s="8" t="n">
        <f aca="false">COUNTIFS(ANAKAN!$I$6:$I$300,$B51,ANAKAN!$N$6:$N$300,"Mati")</f>
        <v>0</v>
      </c>
      <c r="S51" s="6"/>
      <c r="T51" s="26" t="s">
        <v>303</v>
      </c>
      <c r="U51" s="7" t="s">
        <v>304</v>
      </c>
      <c r="V51" s="26"/>
    </row>
    <row r="52" customFormat="false" ht="15" hidden="false" customHeight="true" outlineLevel="0" collapsed="false">
      <c r="A52" s="26" t="n">
        <v>47</v>
      </c>
      <c r="B52" s="16" t="s">
        <v>325</v>
      </c>
      <c r="C52" s="5" t="s">
        <v>325</v>
      </c>
      <c r="D52" s="5"/>
      <c r="E52" s="9" t="s">
        <v>92</v>
      </c>
      <c r="F52" s="5" t="s">
        <v>15</v>
      </c>
      <c r="G52" s="8" t="s">
        <v>233</v>
      </c>
      <c r="H52" s="5" t="s">
        <v>234</v>
      </c>
      <c r="I52" s="6"/>
      <c r="J52" s="41" t="n">
        <v>45554</v>
      </c>
      <c r="K52" s="8" t="n">
        <f aca="false">IF($J52="","",ROUND(($L$3-$J52)/30,1))</f>
        <v>22.3</v>
      </c>
      <c r="L52" s="40" t="n">
        <v>35</v>
      </c>
      <c r="M52" s="42" t="n">
        <v>5500000</v>
      </c>
      <c r="N52" s="6" t="s">
        <v>249</v>
      </c>
      <c r="O52" s="8" t="n">
        <v>1</v>
      </c>
      <c r="P52" s="8" t="n">
        <f aca="false">COUNTIF(ANAKAN!$I$6:$I$300,$B52)</f>
        <v>1</v>
      </c>
      <c r="Q52" s="8" t="n">
        <f aca="false">COUNTIFS(ANAKAN!$I$6:$I$300,$B52,ANAKAN!$N$6:$N$300,"Hidup")</f>
        <v>1</v>
      </c>
      <c r="R52" s="8" t="n">
        <f aca="false">COUNTIFS(ANAKAN!$I$6:$I$300,$B52,ANAKAN!$N$6:$N$300,"Mati")</f>
        <v>0</v>
      </c>
      <c r="S52" s="6"/>
      <c r="T52" s="26" t="s">
        <v>303</v>
      </c>
      <c r="U52" s="7" t="s">
        <v>304</v>
      </c>
      <c r="V52" s="26"/>
    </row>
    <row r="53" customFormat="false" ht="15" hidden="false" customHeight="true" outlineLevel="0" collapsed="false">
      <c r="A53" s="26" t="n">
        <v>48</v>
      </c>
      <c r="B53" s="16" t="s">
        <v>326</v>
      </c>
      <c r="C53" s="5" t="s">
        <v>326</v>
      </c>
      <c r="D53" s="5"/>
      <c r="E53" s="9" t="s">
        <v>92</v>
      </c>
      <c r="F53" s="5" t="s">
        <v>15</v>
      </c>
      <c r="G53" s="8" t="s">
        <v>233</v>
      </c>
      <c r="H53" s="5" t="s">
        <v>234</v>
      </c>
      <c r="I53" s="6"/>
      <c r="J53" s="41" t="n">
        <v>45554</v>
      </c>
      <c r="K53" s="8" t="n">
        <f aca="false">IF($J53="","",ROUND(($L$3-$J53)/30,1))</f>
        <v>22.3</v>
      </c>
      <c r="L53" s="40" t="n">
        <v>35</v>
      </c>
      <c r="M53" s="42" t="n">
        <v>5500000</v>
      </c>
      <c r="N53" s="6" t="s">
        <v>249</v>
      </c>
      <c r="O53" s="8" t="n">
        <v>1</v>
      </c>
      <c r="P53" s="8" t="n">
        <f aca="false">COUNTIF(ANAKAN!$I$6:$I$300,$B53)</f>
        <v>1</v>
      </c>
      <c r="Q53" s="8" t="n">
        <f aca="false">COUNTIFS(ANAKAN!$I$6:$I$300,$B53,ANAKAN!$N$6:$N$300,"Hidup")</f>
        <v>1</v>
      </c>
      <c r="R53" s="8" t="n">
        <f aca="false">COUNTIFS(ANAKAN!$I$6:$I$300,$B53,ANAKAN!$N$6:$N$300,"Mati")</f>
        <v>0</v>
      </c>
      <c r="S53" s="6"/>
      <c r="T53" s="26" t="s">
        <v>303</v>
      </c>
      <c r="U53" s="7" t="s">
        <v>304</v>
      </c>
      <c r="V53" s="26"/>
    </row>
    <row r="54" customFormat="false" ht="15" hidden="false" customHeight="true" outlineLevel="0" collapsed="false">
      <c r="A54" s="26" t="n">
        <v>49</v>
      </c>
      <c r="B54" s="16" t="s">
        <v>327</v>
      </c>
      <c r="C54" s="5" t="s">
        <v>327</v>
      </c>
      <c r="D54" s="5"/>
      <c r="E54" s="9" t="s">
        <v>92</v>
      </c>
      <c r="F54" s="5" t="s">
        <v>16</v>
      </c>
      <c r="G54" s="8" t="s">
        <v>252</v>
      </c>
      <c r="H54" s="5" t="s">
        <v>234</v>
      </c>
      <c r="I54" s="6"/>
      <c r="J54" s="41" t="n">
        <v>45554</v>
      </c>
      <c r="K54" s="8" t="n">
        <f aca="false">IF($J54="","",ROUND(($L$3-$J54)/30,1))</f>
        <v>22.3</v>
      </c>
      <c r="L54" s="40" t="n">
        <v>35</v>
      </c>
      <c r="M54" s="42" t="n">
        <v>6500000</v>
      </c>
      <c r="N54" s="6" t="s">
        <v>249</v>
      </c>
      <c r="O54" s="8" t="n">
        <v>1</v>
      </c>
      <c r="P54" s="8" t="n">
        <f aca="false">COUNTIF(ANAKAN!$I$6:$I$300,$B54)</f>
        <v>1</v>
      </c>
      <c r="Q54" s="8" t="n">
        <f aca="false">COUNTIFS(ANAKAN!$I$6:$I$300,$B54,ANAKAN!$N$6:$N$300,"Hidup")</f>
        <v>1</v>
      </c>
      <c r="R54" s="8" t="n">
        <f aca="false">COUNTIFS(ANAKAN!$I$6:$I$300,$B54,ANAKAN!$N$6:$N$300,"Mati")</f>
        <v>0</v>
      </c>
      <c r="S54" s="6"/>
      <c r="T54" s="26" t="s">
        <v>303</v>
      </c>
      <c r="U54" s="7" t="s">
        <v>304</v>
      </c>
      <c r="V54" s="26"/>
    </row>
    <row r="55" customFormat="false" ht="15" hidden="false" customHeight="true" outlineLevel="0" collapsed="false">
      <c r="A55" s="26" t="n">
        <v>50</v>
      </c>
      <c r="B55" s="16" t="s">
        <v>328</v>
      </c>
      <c r="C55" s="5" t="s">
        <v>328</v>
      </c>
      <c r="D55" s="5"/>
      <c r="E55" s="9" t="s">
        <v>92</v>
      </c>
      <c r="F55" s="5" t="s">
        <v>329</v>
      </c>
      <c r="G55" s="8" t="s">
        <v>330</v>
      </c>
      <c r="H55" s="5" t="s">
        <v>234</v>
      </c>
      <c r="I55" s="6"/>
      <c r="J55" s="41" t="n">
        <v>45554</v>
      </c>
      <c r="K55" s="8" t="n">
        <f aca="false">IF($J55="","",ROUND(($L$3-$J55)/30,1))</f>
        <v>22.3</v>
      </c>
      <c r="L55" s="40" t="n">
        <v>35</v>
      </c>
      <c r="M55" s="42" t="n">
        <v>4500000</v>
      </c>
      <c r="N55" s="6" t="s">
        <v>249</v>
      </c>
      <c r="O55" s="8" t="n">
        <v>1</v>
      </c>
      <c r="P55" s="8" t="n">
        <f aca="false">COUNTIF(ANAKAN!$I$6:$I$300,$B55)</f>
        <v>2</v>
      </c>
      <c r="Q55" s="8" t="n">
        <f aca="false">COUNTIFS(ANAKAN!$I$6:$I$300,$B55,ANAKAN!$N$6:$N$300,"Hidup")</f>
        <v>2</v>
      </c>
      <c r="R55" s="8" t="n">
        <f aca="false">COUNTIFS(ANAKAN!$I$6:$I$300,$B55,ANAKAN!$N$6:$N$300,"Mati")</f>
        <v>0</v>
      </c>
      <c r="S55" s="6"/>
      <c r="T55" s="26" t="s">
        <v>303</v>
      </c>
      <c r="U55" s="7" t="s">
        <v>304</v>
      </c>
      <c r="V55" s="26"/>
    </row>
    <row r="56" customFormat="false" ht="15" hidden="false" customHeight="true" outlineLevel="0" collapsed="false">
      <c r="A56" s="26" t="n">
        <v>51</v>
      </c>
      <c r="B56" s="16" t="s">
        <v>331</v>
      </c>
      <c r="C56" s="5" t="s">
        <v>331</v>
      </c>
      <c r="D56" s="5"/>
      <c r="E56" s="9" t="s">
        <v>92</v>
      </c>
      <c r="F56" s="5" t="s">
        <v>302</v>
      </c>
      <c r="G56" s="8" t="s">
        <v>123</v>
      </c>
      <c r="H56" s="5" t="s">
        <v>234</v>
      </c>
      <c r="I56" s="6"/>
      <c r="J56" s="41" t="n">
        <v>45554</v>
      </c>
      <c r="K56" s="8" t="n">
        <f aca="false">IF($J56="","",ROUND(($L$3-$J56)/30,1))</f>
        <v>22.3</v>
      </c>
      <c r="L56" s="40" t="n">
        <v>35</v>
      </c>
      <c r="M56" s="42" t="n">
        <v>4500000</v>
      </c>
      <c r="N56" s="6" t="s">
        <v>249</v>
      </c>
      <c r="O56" s="8" t="n">
        <v>1</v>
      </c>
      <c r="P56" s="8" t="n">
        <f aca="false">COUNTIF(ANAKAN!$I$6:$I$300,$B56)</f>
        <v>1</v>
      </c>
      <c r="Q56" s="8" t="n">
        <f aca="false">COUNTIFS(ANAKAN!$I$6:$I$300,$B56,ANAKAN!$N$6:$N$300,"Hidup")</f>
        <v>1</v>
      </c>
      <c r="R56" s="8" t="n">
        <f aca="false">COUNTIFS(ANAKAN!$I$6:$I$300,$B56,ANAKAN!$N$6:$N$300,"Mati")</f>
        <v>0</v>
      </c>
      <c r="S56" s="6"/>
      <c r="T56" s="26" t="s">
        <v>303</v>
      </c>
      <c r="U56" s="7" t="s">
        <v>304</v>
      </c>
      <c r="V56" s="26"/>
    </row>
    <row r="57" customFormat="false" ht="15" hidden="false" customHeight="true" outlineLevel="0" collapsed="false">
      <c r="A57" s="26" t="n">
        <v>52</v>
      </c>
      <c r="B57" s="16" t="s">
        <v>332</v>
      </c>
      <c r="C57" s="5" t="s">
        <v>332</v>
      </c>
      <c r="D57" s="5"/>
      <c r="E57" s="9" t="s">
        <v>92</v>
      </c>
      <c r="F57" s="5" t="s">
        <v>16</v>
      </c>
      <c r="G57" s="8" t="s">
        <v>252</v>
      </c>
      <c r="H57" s="5" t="s">
        <v>234</v>
      </c>
      <c r="I57" s="6"/>
      <c r="J57" s="41" t="n">
        <v>45554</v>
      </c>
      <c r="K57" s="8" t="n">
        <f aca="false">IF($J57="","",ROUND(($L$3-$J57)/30,1))</f>
        <v>22.3</v>
      </c>
      <c r="L57" s="40" t="n">
        <v>35</v>
      </c>
      <c r="M57" s="42" t="n">
        <v>6500000</v>
      </c>
      <c r="N57" s="6" t="s">
        <v>249</v>
      </c>
      <c r="O57" s="8" t="n">
        <v>1</v>
      </c>
      <c r="P57" s="8" t="n">
        <f aca="false">COUNTIF(ANAKAN!$I$6:$I$300,$B57)</f>
        <v>1</v>
      </c>
      <c r="Q57" s="8" t="n">
        <f aca="false">COUNTIFS(ANAKAN!$I$6:$I$300,$B57,ANAKAN!$N$6:$N$300,"Hidup")</f>
        <v>1</v>
      </c>
      <c r="R57" s="8" t="n">
        <f aca="false">COUNTIFS(ANAKAN!$I$6:$I$300,$B57,ANAKAN!$N$6:$N$300,"Mati")</f>
        <v>0</v>
      </c>
      <c r="S57" s="6"/>
      <c r="T57" s="26" t="s">
        <v>303</v>
      </c>
      <c r="U57" s="7" t="s">
        <v>304</v>
      </c>
      <c r="V57" s="26"/>
    </row>
    <row r="58" customFormat="false" ht="15" hidden="false" customHeight="true" outlineLevel="0" collapsed="false">
      <c r="A58" s="26" t="n">
        <v>53</v>
      </c>
      <c r="B58" s="16" t="s">
        <v>333</v>
      </c>
      <c r="C58" s="5" t="s">
        <v>333</v>
      </c>
      <c r="D58" s="5"/>
      <c r="E58" s="9" t="s">
        <v>92</v>
      </c>
      <c r="F58" s="5" t="s">
        <v>302</v>
      </c>
      <c r="G58" s="8" t="s">
        <v>123</v>
      </c>
      <c r="H58" s="5" t="s">
        <v>234</v>
      </c>
      <c r="I58" s="6"/>
      <c r="J58" s="41" t="n">
        <v>45554</v>
      </c>
      <c r="K58" s="8" t="n">
        <f aca="false">IF($J58="","",ROUND(($L$3-$J58)/30,1))</f>
        <v>22.3</v>
      </c>
      <c r="L58" s="40" t="n">
        <v>35</v>
      </c>
      <c r="M58" s="42" t="n">
        <v>4500000</v>
      </c>
      <c r="N58" s="6" t="s">
        <v>249</v>
      </c>
      <c r="O58" s="8" t="n">
        <v>1</v>
      </c>
      <c r="P58" s="8" t="n">
        <f aca="false">COUNTIF(ANAKAN!$I$6:$I$300,$B58)</f>
        <v>1</v>
      </c>
      <c r="Q58" s="8" t="n">
        <f aca="false">COUNTIFS(ANAKAN!$I$6:$I$300,$B58,ANAKAN!$N$6:$N$300,"Hidup")</f>
        <v>1</v>
      </c>
      <c r="R58" s="8" t="n">
        <f aca="false">COUNTIFS(ANAKAN!$I$6:$I$300,$B58,ANAKAN!$N$6:$N$300,"Mati")</f>
        <v>0</v>
      </c>
      <c r="S58" s="6"/>
      <c r="T58" s="26" t="s">
        <v>303</v>
      </c>
      <c r="U58" s="7" t="s">
        <v>304</v>
      </c>
      <c r="V58" s="26"/>
    </row>
    <row r="59" customFormat="false" ht="15" hidden="false" customHeight="true" outlineLevel="0" collapsed="false">
      <c r="A59" s="26" t="n">
        <v>54</v>
      </c>
      <c r="B59" s="16" t="s">
        <v>334</v>
      </c>
      <c r="C59" s="5" t="s">
        <v>334</v>
      </c>
      <c r="D59" s="5"/>
      <c r="E59" s="9" t="s">
        <v>92</v>
      </c>
      <c r="F59" s="5" t="s">
        <v>302</v>
      </c>
      <c r="G59" s="8" t="s">
        <v>123</v>
      </c>
      <c r="H59" s="5" t="s">
        <v>234</v>
      </c>
      <c r="I59" s="6"/>
      <c r="J59" s="41" t="n">
        <v>45554</v>
      </c>
      <c r="K59" s="8" t="n">
        <f aca="false">IF($J59="","",ROUND(($L$3-$J59)/30,1))</f>
        <v>22.3</v>
      </c>
      <c r="L59" s="40" t="n">
        <v>35</v>
      </c>
      <c r="M59" s="42" t="n">
        <v>4500000</v>
      </c>
      <c r="N59" s="6" t="s">
        <v>249</v>
      </c>
      <c r="O59" s="8" t="n">
        <v>1</v>
      </c>
      <c r="P59" s="8" t="n">
        <f aca="false">COUNTIF(ANAKAN!$I$6:$I$300,$B59)</f>
        <v>2</v>
      </c>
      <c r="Q59" s="8" t="n">
        <f aca="false">COUNTIFS(ANAKAN!$I$6:$I$300,$B59,ANAKAN!$N$6:$N$300,"Hidup")</f>
        <v>2</v>
      </c>
      <c r="R59" s="8" t="n">
        <f aca="false">COUNTIFS(ANAKAN!$I$6:$I$300,$B59,ANAKAN!$N$6:$N$300,"Mati")</f>
        <v>0</v>
      </c>
      <c r="S59" s="6"/>
      <c r="T59" s="26" t="s">
        <v>303</v>
      </c>
      <c r="U59" s="7" t="s">
        <v>304</v>
      </c>
      <c r="V59" s="26"/>
    </row>
    <row r="60" customFormat="false" ht="15" hidden="false" customHeight="true" outlineLevel="0" collapsed="false">
      <c r="A60" s="26" t="n">
        <v>55</v>
      </c>
      <c r="B60" s="16" t="s">
        <v>335</v>
      </c>
      <c r="C60" s="5" t="s">
        <v>335</v>
      </c>
      <c r="D60" s="5"/>
      <c r="E60" s="9" t="s">
        <v>92</v>
      </c>
      <c r="F60" s="5" t="s">
        <v>302</v>
      </c>
      <c r="G60" s="8" t="s">
        <v>123</v>
      </c>
      <c r="H60" s="5" t="s">
        <v>234</v>
      </c>
      <c r="I60" s="6"/>
      <c r="J60" s="41" t="n">
        <v>45554</v>
      </c>
      <c r="K60" s="8" t="n">
        <f aca="false">IF($J60="","",ROUND(($L$3-$J60)/30,1))</f>
        <v>22.3</v>
      </c>
      <c r="L60" s="40" t="n">
        <v>35</v>
      </c>
      <c r="M60" s="42" t="n">
        <v>4500000</v>
      </c>
      <c r="N60" s="6" t="s">
        <v>249</v>
      </c>
      <c r="O60" s="8" t="n">
        <v>1</v>
      </c>
      <c r="P60" s="8" t="n">
        <f aca="false">COUNTIF(ANAKAN!$I$6:$I$300,$B60)</f>
        <v>1</v>
      </c>
      <c r="Q60" s="8" t="n">
        <f aca="false">COUNTIFS(ANAKAN!$I$6:$I$300,$B60,ANAKAN!$N$6:$N$300,"Hidup")</f>
        <v>1</v>
      </c>
      <c r="R60" s="8" t="n">
        <f aca="false">COUNTIFS(ANAKAN!$I$6:$I$300,$B60,ANAKAN!$N$6:$N$300,"Mati")</f>
        <v>0</v>
      </c>
      <c r="S60" s="6"/>
      <c r="T60" s="26" t="s">
        <v>303</v>
      </c>
      <c r="U60" s="7" t="s">
        <v>304</v>
      </c>
      <c r="V60" s="26"/>
    </row>
    <row r="61" customFormat="false" ht="15" hidden="false" customHeight="true" outlineLevel="0" collapsed="false">
      <c r="A61" s="26" t="n">
        <v>56</v>
      </c>
      <c r="B61" s="16" t="s">
        <v>336</v>
      </c>
      <c r="C61" s="5" t="s">
        <v>336</v>
      </c>
      <c r="D61" s="5"/>
      <c r="E61" s="9" t="s">
        <v>92</v>
      </c>
      <c r="F61" s="5" t="s">
        <v>302</v>
      </c>
      <c r="G61" s="8" t="s">
        <v>123</v>
      </c>
      <c r="H61" s="5" t="s">
        <v>234</v>
      </c>
      <c r="I61" s="6"/>
      <c r="J61" s="41" t="n">
        <v>45554</v>
      </c>
      <c r="K61" s="8" t="n">
        <f aca="false">IF($J61="","",ROUND(($L$3-$J61)/30,1))</f>
        <v>22.3</v>
      </c>
      <c r="L61" s="40" t="n">
        <v>35</v>
      </c>
      <c r="M61" s="42" t="n">
        <v>4500000</v>
      </c>
      <c r="N61" s="6" t="s">
        <v>249</v>
      </c>
      <c r="O61" s="8" t="n">
        <v>1</v>
      </c>
      <c r="P61" s="8" t="n">
        <f aca="false">COUNTIF(ANAKAN!$I$6:$I$300,$B61)</f>
        <v>1</v>
      </c>
      <c r="Q61" s="8" t="n">
        <f aca="false">COUNTIFS(ANAKAN!$I$6:$I$300,$B61,ANAKAN!$N$6:$N$300,"Hidup")</f>
        <v>1</v>
      </c>
      <c r="R61" s="8" t="n">
        <f aca="false">COUNTIFS(ANAKAN!$I$6:$I$300,$B61,ANAKAN!$N$6:$N$300,"Mati")</f>
        <v>0</v>
      </c>
      <c r="S61" s="6"/>
      <c r="T61" s="26" t="s">
        <v>303</v>
      </c>
      <c r="U61" s="7" t="s">
        <v>304</v>
      </c>
      <c r="V61" s="26"/>
    </row>
    <row r="62" customFormat="false" ht="15" hidden="false" customHeight="true" outlineLevel="0" collapsed="false">
      <c r="A62" s="26" t="n">
        <v>57</v>
      </c>
      <c r="B62" s="16" t="s">
        <v>337</v>
      </c>
      <c r="C62" s="5" t="s">
        <v>337</v>
      </c>
      <c r="D62" s="5"/>
      <c r="E62" s="9" t="s">
        <v>92</v>
      </c>
      <c r="F62" s="5" t="s">
        <v>302</v>
      </c>
      <c r="G62" s="8" t="s">
        <v>123</v>
      </c>
      <c r="H62" s="5" t="s">
        <v>234</v>
      </c>
      <c r="I62" s="6"/>
      <c r="J62" s="41" t="n">
        <v>45554</v>
      </c>
      <c r="K62" s="8" t="n">
        <f aca="false">IF($J62="","",ROUND(($L$3-$J62)/30,1))</f>
        <v>22.3</v>
      </c>
      <c r="L62" s="40" t="n">
        <v>35</v>
      </c>
      <c r="M62" s="42" t="n">
        <v>4500000</v>
      </c>
      <c r="N62" s="6" t="s">
        <v>249</v>
      </c>
      <c r="O62" s="8" t="n">
        <v>1</v>
      </c>
      <c r="P62" s="8" t="n">
        <f aca="false">COUNTIF(ANAKAN!$I$6:$I$300,$B62)</f>
        <v>1</v>
      </c>
      <c r="Q62" s="8" t="n">
        <f aca="false">COUNTIFS(ANAKAN!$I$6:$I$300,$B62,ANAKAN!$N$6:$N$300,"Hidup")</f>
        <v>1</v>
      </c>
      <c r="R62" s="8" t="n">
        <f aca="false">COUNTIFS(ANAKAN!$I$6:$I$300,$B62,ANAKAN!$N$6:$N$300,"Mati")</f>
        <v>0</v>
      </c>
      <c r="S62" s="6"/>
      <c r="T62" s="26" t="s">
        <v>303</v>
      </c>
      <c r="U62" s="7" t="s">
        <v>304</v>
      </c>
      <c r="V62" s="26"/>
    </row>
    <row r="63" customFormat="false" ht="15" hidden="false" customHeight="true" outlineLevel="0" collapsed="false">
      <c r="A63" s="26" t="n">
        <v>58</v>
      </c>
      <c r="B63" s="16" t="s">
        <v>338</v>
      </c>
      <c r="C63" s="5" t="s">
        <v>338</v>
      </c>
      <c r="D63" s="5"/>
      <c r="E63" s="9" t="s">
        <v>92</v>
      </c>
      <c r="F63" s="5" t="s">
        <v>329</v>
      </c>
      <c r="G63" s="8" t="s">
        <v>330</v>
      </c>
      <c r="H63" s="5" t="s">
        <v>234</v>
      </c>
      <c r="I63" s="6"/>
      <c r="J63" s="41" t="n">
        <v>45554</v>
      </c>
      <c r="K63" s="8" t="n">
        <f aca="false">IF($J63="","",ROUND(($L$3-$J63)/30,1))</f>
        <v>22.3</v>
      </c>
      <c r="L63" s="40" t="n">
        <v>35</v>
      </c>
      <c r="M63" s="42" t="n">
        <v>4500000</v>
      </c>
      <c r="N63" s="6" t="s">
        <v>249</v>
      </c>
      <c r="O63" s="8" t="n">
        <v>1</v>
      </c>
      <c r="P63" s="8" t="n">
        <f aca="false">COUNTIF(ANAKAN!$I$6:$I$300,$B63)</f>
        <v>1</v>
      </c>
      <c r="Q63" s="8" t="n">
        <f aca="false">COUNTIFS(ANAKAN!$I$6:$I$300,$B63,ANAKAN!$N$6:$N$300,"Hidup")</f>
        <v>1</v>
      </c>
      <c r="R63" s="8" t="n">
        <f aca="false">COUNTIFS(ANAKAN!$I$6:$I$300,$B63,ANAKAN!$N$6:$N$300,"Mati")</f>
        <v>0</v>
      </c>
      <c r="S63" s="6"/>
      <c r="T63" s="26" t="s">
        <v>303</v>
      </c>
      <c r="U63" s="7" t="s">
        <v>304</v>
      </c>
      <c r="V63" s="26"/>
    </row>
    <row r="64" customFormat="false" ht="15" hidden="false" customHeight="true" outlineLevel="0" collapsed="false">
      <c r="A64" s="26" t="n">
        <v>59</v>
      </c>
      <c r="B64" s="43" t="s">
        <v>339</v>
      </c>
      <c r="C64" s="7" t="s">
        <v>339</v>
      </c>
      <c r="D64" s="5"/>
      <c r="E64" s="9" t="s">
        <v>92</v>
      </c>
      <c r="F64" s="5" t="s">
        <v>302</v>
      </c>
      <c r="G64" s="8" t="s">
        <v>123</v>
      </c>
      <c r="H64" s="5" t="s">
        <v>234</v>
      </c>
      <c r="I64" s="6"/>
      <c r="J64" s="41" t="n">
        <v>45554</v>
      </c>
      <c r="K64" s="8" t="n">
        <f aca="false">IF($J64="","",ROUND(($L$3-$J64)/30,1))</f>
        <v>22.3</v>
      </c>
      <c r="L64" s="40" t="n">
        <v>35</v>
      </c>
      <c r="M64" s="42" t="n">
        <v>4500000</v>
      </c>
      <c r="N64" s="6" t="s">
        <v>249</v>
      </c>
      <c r="O64" s="8" t="n">
        <v>1</v>
      </c>
      <c r="P64" s="8" t="n">
        <f aca="false">COUNTIF(ANAKAN!$I$6:$I$300,$B64)</f>
        <v>1</v>
      </c>
      <c r="Q64" s="8" t="n">
        <f aca="false">COUNTIFS(ANAKAN!$I$6:$I$300,$B64,ANAKAN!$N$6:$N$300,"Hidup")</f>
        <v>1</v>
      </c>
      <c r="R64" s="8" t="n">
        <f aca="false">COUNTIFS(ANAKAN!$I$6:$I$300,$B64,ANAKAN!$N$6:$N$300,"Mati")</f>
        <v>0</v>
      </c>
      <c r="S64" s="6"/>
      <c r="T64" s="26" t="s">
        <v>340</v>
      </c>
      <c r="U64" s="7" t="s">
        <v>341</v>
      </c>
      <c r="V64" s="26" t="s">
        <v>342</v>
      </c>
    </row>
    <row r="65" customFormat="false" ht="15" hidden="false" customHeight="true" outlineLevel="0" collapsed="false">
      <c r="A65" s="26" t="n">
        <v>60</v>
      </c>
      <c r="B65" s="43" t="s">
        <v>343</v>
      </c>
      <c r="C65" s="7" t="s">
        <v>343</v>
      </c>
      <c r="D65" s="5"/>
      <c r="E65" s="9" t="s">
        <v>92</v>
      </c>
      <c r="F65" s="5" t="s">
        <v>302</v>
      </c>
      <c r="G65" s="8" t="s">
        <v>123</v>
      </c>
      <c r="H65" s="5" t="s">
        <v>234</v>
      </c>
      <c r="I65" s="6"/>
      <c r="J65" s="41" t="n">
        <v>45554</v>
      </c>
      <c r="K65" s="8" t="n">
        <f aca="false">IF($J65="","",ROUND(($L$3-$J65)/30,1))</f>
        <v>22.3</v>
      </c>
      <c r="L65" s="40" t="n">
        <v>35</v>
      </c>
      <c r="M65" s="42" t="n">
        <v>4500000</v>
      </c>
      <c r="N65" s="6" t="s">
        <v>249</v>
      </c>
      <c r="O65" s="8" t="n">
        <v>1</v>
      </c>
      <c r="P65" s="8" t="n">
        <f aca="false">COUNTIF(ANAKAN!$I$6:$I$300,$B65)</f>
        <v>1</v>
      </c>
      <c r="Q65" s="8" t="n">
        <f aca="false">COUNTIFS(ANAKAN!$I$6:$I$300,$B65,ANAKAN!$N$6:$N$300,"Hidup")</f>
        <v>1</v>
      </c>
      <c r="R65" s="8" t="n">
        <f aca="false">COUNTIFS(ANAKAN!$I$6:$I$300,$B65,ANAKAN!$N$6:$N$300,"Mati")</f>
        <v>0</v>
      </c>
      <c r="S65" s="6"/>
      <c r="T65" s="26" t="s">
        <v>340</v>
      </c>
      <c r="U65" s="7" t="s">
        <v>341</v>
      </c>
      <c r="V65" s="26" t="s">
        <v>344</v>
      </c>
    </row>
    <row r="66" customFormat="false" ht="15" hidden="false" customHeight="true" outlineLevel="0" collapsed="false">
      <c r="A66" s="26" t="n">
        <v>61</v>
      </c>
      <c r="B66" s="43" t="s">
        <v>345</v>
      </c>
      <c r="C66" s="7" t="s">
        <v>345</v>
      </c>
      <c r="D66" s="5"/>
      <c r="E66" s="9" t="s">
        <v>92</v>
      </c>
      <c r="F66" s="5" t="s">
        <v>302</v>
      </c>
      <c r="G66" s="8" t="s">
        <v>123</v>
      </c>
      <c r="H66" s="5" t="s">
        <v>234</v>
      </c>
      <c r="I66" s="6"/>
      <c r="J66" s="41" t="n">
        <v>45554</v>
      </c>
      <c r="K66" s="8" t="n">
        <f aca="false">IF($J66="","",ROUND(($L$3-$J66)/30,1))</f>
        <v>22.3</v>
      </c>
      <c r="L66" s="40" t="n">
        <v>35</v>
      </c>
      <c r="M66" s="42" t="n">
        <v>4500000</v>
      </c>
      <c r="N66" s="6" t="s">
        <v>249</v>
      </c>
      <c r="O66" s="8" t="n">
        <v>1</v>
      </c>
      <c r="P66" s="8" t="n">
        <f aca="false">COUNTIF(ANAKAN!$I$6:$I$300,$B66)</f>
        <v>1</v>
      </c>
      <c r="Q66" s="8" t="n">
        <f aca="false">COUNTIFS(ANAKAN!$I$6:$I$300,$B66,ANAKAN!$N$6:$N$300,"Hidup")</f>
        <v>1</v>
      </c>
      <c r="R66" s="8" t="n">
        <f aca="false">COUNTIFS(ANAKAN!$I$6:$I$300,$B66,ANAKAN!$N$6:$N$300,"Mati")</f>
        <v>0</v>
      </c>
      <c r="S66" s="6"/>
      <c r="T66" s="26" t="s">
        <v>340</v>
      </c>
      <c r="U66" s="7" t="s">
        <v>341</v>
      </c>
      <c r="V66" s="26" t="s">
        <v>346</v>
      </c>
    </row>
    <row r="67" customFormat="false" ht="15" hidden="false" customHeight="true" outlineLevel="0" collapsed="false">
      <c r="A67" s="26" t="n">
        <v>62</v>
      </c>
      <c r="B67" s="43" t="s">
        <v>347</v>
      </c>
      <c r="C67" s="7" t="s">
        <v>347</v>
      </c>
      <c r="D67" s="5"/>
      <c r="E67" s="9" t="s">
        <v>92</v>
      </c>
      <c r="F67" s="6" t="s">
        <v>302</v>
      </c>
      <c r="G67" s="8" t="s">
        <v>123</v>
      </c>
      <c r="H67" s="5" t="s">
        <v>234</v>
      </c>
      <c r="I67" s="6"/>
      <c r="J67" s="41" t="n">
        <v>45554</v>
      </c>
      <c r="K67" s="8" t="n">
        <f aca="false">IF($J67="","",ROUND(($L$3-$J67)/30,1))</f>
        <v>22.3</v>
      </c>
      <c r="L67" s="40" t="n">
        <v>35</v>
      </c>
      <c r="M67" s="42" t="n">
        <v>4500000</v>
      </c>
      <c r="N67" s="6" t="s">
        <v>249</v>
      </c>
      <c r="O67" s="8" t="n">
        <v>1</v>
      </c>
      <c r="P67" s="8" t="n">
        <f aca="false">COUNTIF(ANAKAN!$I$6:$I$300,$B67)</f>
        <v>1</v>
      </c>
      <c r="Q67" s="8" t="n">
        <f aca="false">COUNTIFS(ANAKAN!$I$6:$I$300,$B67,ANAKAN!$N$6:$N$300,"Hidup")</f>
        <v>1</v>
      </c>
      <c r="R67" s="8" t="n">
        <f aca="false">COUNTIFS(ANAKAN!$I$6:$I$300,$B67,ANAKAN!$N$6:$N$300,"Mati")</f>
        <v>0</v>
      </c>
      <c r="S67" s="6"/>
      <c r="T67" s="26" t="s">
        <v>340</v>
      </c>
      <c r="U67" s="7" t="s">
        <v>348</v>
      </c>
      <c r="V67" s="26" t="s">
        <v>349</v>
      </c>
    </row>
    <row r="68" customFormat="false" ht="15" hidden="false" customHeight="true" outlineLevel="0" collapsed="false">
      <c r="A68" s="26" t="n">
        <v>63</v>
      </c>
      <c r="B68" s="43" t="s">
        <v>350</v>
      </c>
      <c r="C68" s="7" t="s">
        <v>350</v>
      </c>
      <c r="D68" s="5"/>
      <c r="E68" s="9" t="s">
        <v>92</v>
      </c>
      <c r="F68" s="5" t="s">
        <v>15</v>
      </c>
      <c r="G68" s="8" t="s">
        <v>233</v>
      </c>
      <c r="H68" s="5" t="s">
        <v>234</v>
      </c>
      <c r="I68" s="6"/>
      <c r="J68" s="41" t="n">
        <v>45554</v>
      </c>
      <c r="K68" s="8" t="n">
        <f aca="false">IF($J68="","",ROUND(($L$3-$J68)/30,1))</f>
        <v>22.3</v>
      </c>
      <c r="L68" s="40" t="n">
        <v>35</v>
      </c>
      <c r="M68" s="42" t="n">
        <v>5500000</v>
      </c>
      <c r="N68" s="6" t="s">
        <v>249</v>
      </c>
      <c r="O68" s="8" t="n">
        <v>1</v>
      </c>
      <c r="P68" s="8" t="n">
        <f aca="false">COUNTIF(ANAKAN!$I$6:$I$300,$B68)</f>
        <v>2</v>
      </c>
      <c r="Q68" s="8" t="n">
        <f aca="false">COUNTIFS(ANAKAN!$I$6:$I$300,$B68,ANAKAN!$N$6:$N$300,"Hidup")</f>
        <v>2</v>
      </c>
      <c r="R68" s="8" t="n">
        <f aca="false">COUNTIFS(ANAKAN!$I$6:$I$300,$B68,ANAKAN!$N$6:$N$300,"Mati")</f>
        <v>0</v>
      </c>
      <c r="S68" s="6"/>
      <c r="T68" s="26" t="s">
        <v>340</v>
      </c>
      <c r="U68" s="7" t="s">
        <v>341</v>
      </c>
      <c r="V68" s="26" t="s">
        <v>351</v>
      </c>
    </row>
    <row r="69" customFormat="false" ht="15" hidden="false" customHeight="true" outlineLevel="0" collapsed="false">
      <c r="A69" s="26" t="n">
        <v>64</v>
      </c>
      <c r="B69" s="43" t="s">
        <v>352</v>
      </c>
      <c r="C69" s="7" t="s">
        <v>352</v>
      </c>
      <c r="D69" s="5"/>
      <c r="E69" s="9" t="s">
        <v>92</v>
      </c>
      <c r="F69" s="5" t="s">
        <v>353</v>
      </c>
      <c r="G69" s="8" t="s">
        <v>354</v>
      </c>
      <c r="H69" s="5" t="s">
        <v>234</v>
      </c>
      <c r="I69" s="6"/>
      <c r="J69" s="41" t="n">
        <v>45554</v>
      </c>
      <c r="K69" s="8" t="n">
        <f aca="false">IF($J69="","",ROUND(($L$3-$J69)/30,1))</f>
        <v>22.3</v>
      </c>
      <c r="L69" s="40" t="n">
        <v>35</v>
      </c>
      <c r="M69" s="42" t="n">
        <v>6500000</v>
      </c>
      <c r="N69" s="6" t="s">
        <v>249</v>
      </c>
      <c r="O69" s="8" t="n">
        <v>1</v>
      </c>
      <c r="P69" s="8" t="n">
        <f aca="false">COUNTIF(ANAKAN!$I$6:$I$300,$B69)</f>
        <v>1</v>
      </c>
      <c r="Q69" s="8" t="n">
        <f aca="false">COUNTIFS(ANAKAN!$I$6:$I$300,$B69,ANAKAN!$N$6:$N$300,"Hidup")</f>
        <v>1</v>
      </c>
      <c r="R69" s="8" t="n">
        <f aca="false">COUNTIFS(ANAKAN!$I$6:$I$300,$B69,ANAKAN!$N$6:$N$300,"Mati")</f>
        <v>0</v>
      </c>
      <c r="S69" s="6"/>
      <c r="T69" s="26" t="s">
        <v>340</v>
      </c>
      <c r="U69" s="7" t="s">
        <v>341</v>
      </c>
      <c r="V69" s="26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3" min="3" style="1" width="17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7" min="7" style="1" width="8"/>
    <col collapsed="false" customWidth="true" hidden="false" outlineLevel="0" max="8" min="8" style="1" width="11"/>
    <col collapsed="false" customWidth="true" hidden="false" outlineLevel="0" max="10" min="9" style="1" width="17"/>
    <col collapsed="false" customWidth="true" hidden="false" outlineLevel="0" max="11" min="11" style="1" width="13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10"/>
    <col collapsed="false" customWidth="true" hidden="false" outlineLevel="0" max="15" min="15" style="1" width="11"/>
    <col collapsed="false" customWidth="true" hidden="false" outlineLevel="0" max="16" min="16" style="1" width="9"/>
    <col collapsed="false" customWidth="true" hidden="false" outlineLevel="0" max="17" min="17" style="1" width="10"/>
    <col collapsed="false" customWidth="true" hidden="false" outlineLevel="0" max="18" min="18" style="1" width="17"/>
    <col collapsed="false" customWidth="true" hidden="false" outlineLevel="0" max="19" min="19" style="1" width="13"/>
    <col collapsed="false" customWidth="true" hidden="false" outlineLevel="0" max="20" min="20" style="1" width="26"/>
    <col collapsed="false" customWidth="true" hidden="false" outlineLevel="0" max="21" min="21" style="1" width="9"/>
    <col collapsed="false" customWidth="true" hidden="false" outlineLevel="0" max="22" min="22" style="1" width="13"/>
    <col collapsed="false" customWidth="true" hidden="false" outlineLevel="0" max="23" min="23" style="1" width="40"/>
    <col collapsed="false" customWidth="true" hidden="false" outlineLevel="0" max="24" min="24" style="1" width="11"/>
    <col collapsed="false" customWidth="true" hidden="false" outlineLevel="0" max="25" min="25" style="1" width="24"/>
    <col collapsed="false" customWidth="true" hidden="false" outlineLevel="0" max="26" min="26" style="1" width="44"/>
  </cols>
  <sheetData>
    <row r="1" customFormat="false" ht="17.25" hidden="false" customHeight="true" outlineLevel="0" collapsed="false">
      <c r="A1" s="37" t="s">
        <v>356</v>
      </c>
    </row>
    <row r="3" customFormat="false" ht="15" hidden="false" customHeight="true" outlineLevel="0" collapsed="false">
      <c r="P3" s="1" t="s">
        <v>211</v>
      </c>
      <c r="R3" s="38" t="n">
        <f aca="true">TODAY()</f>
        <v>46223</v>
      </c>
    </row>
    <row r="5" customFormat="false" ht="23.25" hidden="false" customHeight="true" outlineLevel="0" collapsed="false">
      <c r="A5" s="35" t="s">
        <v>212</v>
      </c>
      <c r="B5" s="35" t="s">
        <v>220</v>
      </c>
      <c r="C5" s="35" t="s">
        <v>213</v>
      </c>
      <c r="D5" s="35" t="s">
        <v>357</v>
      </c>
      <c r="E5" s="35" t="s">
        <v>215</v>
      </c>
      <c r="F5" s="35" t="s">
        <v>358</v>
      </c>
      <c r="G5" s="35" t="s">
        <v>359</v>
      </c>
      <c r="H5" s="35" t="s">
        <v>360</v>
      </c>
      <c r="I5" s="44" t="s">
        <v>361</v>
      </c>
      <c r="J5" s="35" t="s">
        <v>362</v>
      </c>
      <c r="K5" s="35" t="s">
        <v>197</v>
      </c>
      <c r="L5" s="35" t="s">
        <v>217</v>
      </c>
      <c r="M5" s="35" t="s">
        <v>218</v>
      </c>
      <c r="N5" s="35" t="s">
        <v>363</v>
      </c>
      <c r="O5" s="35" t="s">
        <v>364</v>
      </c>
      <c r="P5" s="35" t="s">
        <v>365</v>
      </c>
      <c r="Q5" s="35" t="s">
        <v>366</v>
      </c>
      <c r="R5" s="35" t="s">
        <v>221</v>
      </c>
      <c r="S5" s="35" t="s">
        <v>367</v>
      </c>
      <c r="T5" s="35" t="s">
        <v>223</v>
      </c>
      <c r="U5" s="35" t="s">
        <v>224</v>
      </c>
      <c r="V5" s="35" t="s">
        <v>82</v>
      </c>
      <c r="W5" s="35" t="s">
        <v>368</v>
      </c>
      <c r="X5" s="35" t="s">
        <v>229</v>
      </c>
      <c r="Y5" s="35" t="s">
        <v>369</v>
      </c>
      <c r="Z5" s="35" t="s">
        <v>231</v>
      </c>
      <c r="AA5" s="35" t="s">
        <v>370</v>
      </c>
    </row>
    <row r="6" customFormat="false" ht="15" hidden="false" customHeight="true" outlineLevel="0" collapsed="false">
      <c r="A6" s="26" t="n">
        <v>1</v>
      </c>
      <c r="B6" s="39" t="n">
        <v>45904</v>
      </c>
      <c r="C6" s="16" t="s">
        <v>371</v>
      </c>
      <c r="D6" s="5" t="s">
        <v>371</v>
      </c>
      <c r="E6" s="5" t="s">
        <v>371</v>
      </c>
      <c r="F6" s="6"/>
      <c r="G6" s="26" t="n">
        <v>1</v>
      </c>
      <c r="H6" s="5" t="s">
        <v>247</v>
      </c>
      <c r="I6" s="8" t="s">
        <v>175</v>
      </c>
      <c r="J6" s="5" t="s">
        <v>15</v>
      </c>
      <c r="K6" s="8" t="s">
        <v>16</v>
      </c>
      <c r="L6" s="8" t="s">
        <v>252</v>
      </c>
      <c r="M6" s="5" t="s">
        <v>234</v>
      </c>
      <c r="N6" s="5" t="s">
        <v>372</v>
      </c>
      <c r="O6" s="45" t="n">
        <v>4.45</v>
      </c>
      <c r="P6" s="26"/>
      <c r="Q6" s="5" t="s">
        <v>373</v>
      </c>
      <c r="R6" s="8" t="n">
        <f aca="false">IF($B6="","",ROUND(($Q$3-$B6)/30,1))</f>
        <v>-1530.1</v>
      </c>
      <c r="S6" s="8" t="str">
        <f aca="false">IF(OR($M6="",$R6=""),"",IF($M6="Jantan",IF($R6&lt;=3,"Cempe Lahir",IF($R6&lt;=6,"Cempe Sapih",IF($R6&lt;=12,"Bakalan","Jantan Siap Kawin"))),IF($M6="Betina",IF($R6&lt;=3,"Cempe Lahir",IF($R6&lt;=6,"Cempe Sapih",IF($R6&lt;=8,"Dara","Betina Siap Kawin"))),"")))</f>
        <v>Cempe Lahir</v>
      </c>
      <c r="T6" s="42" t="n">
        <v>1250000</v>
      </c>
      <c r="U6" s="6" t="s">
        <v>374</v>
      </c>
      <c r="V6" s="8" t="s">
        <v>87</v>
      </c>
      <c r="W6" s="26" t="s">
        <v>375</v>
      </c>
      <c r="X6" s="5"/>
      <c r="Y6" s="6" t="s">
        <v>376</v>
      </c>
      <c r="Z6" s="26" t="s">
        <v>377</v>
      </c>
      <c r="AA6" s="26" t="s">
        <v>377</v>
      </c>
    </row>
    <row r="7" customFormat="false" ht="15" hidden="false" customHeight="true" outlineLevel="0" collapsed="false">
      <c r="A7" s="26" t="n">
        <v>2</v>
      </c>
      <c r="B7" s="39" t="n">
        <v>45914</v>
      </c>
      <c r="C7" s="16" t="s">
        <v>378</v>
      </c>
      <c r="D7" s="5" t="s">
        <v>378</v>
      </c>
      <c r="E7" s="5" t="s">
        <v>378</v>
      </c>
      <c r="F7" s="6"/>
      <c r="G7" s="26" t="n">
        <v>1</v>
      </c>
      <c r="H7" s="5" t="s">
        <v>379</v>
      </c>
      <c r="I7" s="8" t="s">
        <v>299</v>
      </c>
      <c r="J7" s="5" t="s">
        <v>15</v>
      </c>
      <c r="K7" s="8" t="s">
        <v>16</v>
      </c>
      <c r="L7" s="8" t="s">
        <v>252</v>
      </c>
      <c r="M7" s="5" t="s">
        <v>234</v>
      </c>
      <c r="N7" s="5" t="s">
        <v>372</v>
      </c>
      <c r="O7" s="45" t="n">
        <v>2.7</v>
      </c>
      <c r="P7" s="26"/>
      <c r="Q7" s="5" t="s">
        <v>373</v>
      </c>
      <c r="R7" s="8" t="n">
        <f aca="false">IF($B7="","",ROUND(($Q$3-$B7)/30,1))</f>
        <v>-1530.5</v>
      </c>
      <c r="S7" s="8" t="str">
        <f aca="false">IF(OR($M7="",$R7=""),"",IF($M7="Jantan",IF($R7&lt;=3,"Cempe Lahir",IF($R7&lt;=6,"Cempe Sapih",IF($R7&lt;=12,"Bakalan","Jantan Siap Kawin"))),IF($M7="Betina",IF($R7&lt;=3,"Cempe Lahir",IF($R7&lt;=6,"Cempe Sapih",IF($R7&lt;=8,"Dara","Betina Siap Kawin"))),"")))</f>
        <v>Cempe Lahir</v>
      </c>
      <c r="T7" s="42" t="n">
        <v>1250000</v>
      </c>
      <c r="U7" s="6" t="s">
        <v>380</v>
      </c>
      <c r="V7" s="8" t="s">
        <v>91</v>
      </c>
      <c r="W7" s="26" t="s">
        <v>375</v>
      </c>
      <c r="X7" s="5"/>
      <c r="Y7" s="26" t="s">
        <v>381</v>
      </c>
      <c r="Z7" s="26"/>
      <c r="AA7" s="26"/>
    </row>
    <row r="8" customFormat="false" ht="15" hidden="false" customHeight="true" outlineLevel="0" collapsed="false">
      <c r="A8" s="26" t="n">
        <v>3</v>
      </c>
      <c r="B8" s="39" t="n">
        <v>45915</v>
      </c>
      <c r="C8" s="16" t="s">
        <v>382</v>
      </c>
      <c r="D8" s="5" t="s">
        <v>382</v>
      </c>
      <c r="E8" s="5" t="s">
        <v>382</v>
      </c>
      <c r="F8" s="6"/>
      <c r="G8" s="26" t="n">
        <v>1</v>
      </c>
      <c r="H8" s="5" t="s">
        <v>317</v>
      </c>
      <c r="I8" s="8" t="s">
        <v>317</v>
      </c>
      <c r="J8" s="5" t="s">
        <v>15</v>
      </c>
      <c r="K8" s="8" t="s">
        <v>16</v>
      </c>
      <c r="L8" s="8" t="s">
        <v>252</v>
      </c>
      <c r="M8" s="5" t="s">
        <v>383</v>
      </c>
      <c r="N8" s="5" t="s">
        <v>372</v>
      </c>
      <c r="O8" s="45" t="n">
        <v>2.95</v>
      </c>
      <c r="P8" s="26"/>
      <c r="Q8" s="5" t="s">
        <v>373</v>
      </c>
      <c r="R8" s="8" t="n">
        <f aca="false">IF($B8="","",ROUND(($Q$3-$B8)/30,1))</f>
        <v>-1530.5</v>
      </c>
      <c r="S8" s="8" t="str">
        <f aca="false">IF(OR($M8="",$R8=""),"",IF($M8="Jantan",IF($R8&lt;=3,"Cempe Lahir",IF($R8&lt;=6,"Cempe Sapih",IF($R8&lt;=12,"Bakalan","Jantan Siap Kawin"))),IF($M8="Betina",IF($R8&lt;=3,"Cempe Lahir",IF($R8&lt;=6,"Cempe Sapih",IF($R8&lt;=8,"Dara","Betina Siap Kawin"))),"")))</f>
        <v>Cempe Lahir</v>
      </c>
      <c r="T8" s="42" t="n">
        <v>1250000</v>
      </c>
      <c r="U8" s="6" t="s">
        <v>384</v>
      </c>
      <c r="V8" s="9" t="s">
        <v>92</v>
      </c>
      <c r="W8" s="26" t="s">
        <v>375</v>
      </c>
      <c r="X8" s="6"/>
      <c r="Y8" s="26" t="s">
        <v>381</v>
      </c>
      <c r="Z8" s="26"/>
      <c r="AA8" s="26"/>
    </row>
    <row r="9" customFormat="false" ht="15" hidden="false" customHeight="true" outlineLevel="0" collapsed="false">
      <c r="A9" s="26" t="n">
        <v>4</v>
      </c>
      <c r="B9" s="39" t="n">
        <v>45922</v>
      </c>
      <c r="C9" s="16" t="s">
        <v>385</v>
      </c>
      <c r="D9" s="5" t="s">
        <v>385</v>
      </c>
      <c r="E9" s="5" t="s">
        <v>385</v>
      </c>
      <c r="F9" s="6"/>
      <c r="G9" s="26" t="n">
        <v>1</v>
      </c>
      <c r="H9" s="5" t="s">
        <v>338</v>
      </c>
      <c r="I9" s="8" t="s">
        <v>338</v>
      </c>
      <c r="J9" s="5" t="s">
        <v>329</v>
      </c>
      <c r="K9" s="8" t="s">
        <v>15</v>
      </c>
      <c r="L9" s="8" t="s">
        <v>233</v>
      </c>
      <c r="M9" s="5" t="s">
        <v>383</v>
      </c>
      <c r="N9" s="5" t="s">
        <v>372</v>
      </c>
      <c r="O9" s="45" t="n">
        <v>3.95</v>
      </c>
      <c r="P9" s="26"/>
      <c r="Q9" s="5" t="s">
        <v>373</v>
      </c>
      <c r="R9" s="8" t="n">
        <f aca="false">IF($B9="","",ROUND(($Q$3-$B9)/30,1))</f>
        <v>-1530.7</v>
      </c>
      <c r="S9" s="8" t="str">
        <f aca="false">IF(OR($M9="",$R9=""),"",IF($M9="Jantan",IF($R9&lt;=3,"Cempe Lahir",IF($R9&lt;=6,"Cempe Sapih",IF($R9&lt;=12,"Bakalan","Jantan Siap Kawin"))),IF($M9="Betina",IF($R9&lt;=3,"Cempe Lahir",IF($R9&lt;=6,"Cempe Sapih",IF($R9&lt;=8,"Dara","Betina Siap Kawin"))),"")))</f>
        <v>Cempe Lahir</v>
      </c>
      <c r="T9" s="42" t="n">
        <v>1250000</v>
      </c>
      <c r="U9" s="6" t="s">
        <v>386</v>
      </c>
      <c r="V9" s="9" t="s">
        <v>92</v>
      </c>
      <c r="W9" s="26" t="s">
        <v>375</v>
      </c>
      <c r="X9" s="6"/>
      <c r="Y9" s="6" t="s">
        <v>376</v>
      </c>
      <c r="Z9" s="26" t="s">
        <v>387</v>
      </c>
      <c r="AA9" s="26" t="s">
        <v>387</v>
      </c>
    </row>
    <row r="10" customFormat="false" ht="15" hidden="false" customHeight="true" outlineLevel="0" collapsed="false">
      <c r="A10" s="26" t="n">
        <v>5</v>
      </c>
      <c r="B10" s="39" t="n">
        <v>45924</v>
      </c>
      <c r="C10" s="16" t="s">
        <v>388</v>
      </c>
      <c r="D10" s="5" t="s">
        <v>388</v>
      </c>
      <c r="E10" s="5" t="s">
        <v>388</v>
      </c>
      <c r="F10" s="6"/>
      <c r="G10" s="26" t="n">
        <v>1</v>
      </c>
      <c r="H10" s="7" t="s">
        <v>339</v>
      </c>
      <c r="I10" s="8" t="s">
        <v>339</v>
      </c>
      <c r="J10" s="5" t="s">
        <v>302</v>
      </c>
      <c r="K10" s="8" t="s">
        <v>15</v>
      </c>
      <c r="L10" s="8" t="s">
        <v>233</v>
      </c>
      <c r="M10" s="5" t="s">
        <v>234</v>
      </c>
      <c r="N10" s="5" t="s">
        <v>372</v>
      </c>
      <c r="O10" s="45" t="n">
        <v>4.2</v>
      </c>
      <c r="P10" s="26"/>
      <c r="Q10" s="5" t="s">
        <v>373</v>
      </c>
      <c r="R10" s="8" t="n">
        <f aca="false">IF($B10="","",ROUND(($Q$3-$B10)/30,1))</f>
        <v>-1530.8</v>
      </c>
      <c r="S10" s="8" t="str">
        <f aca="false">IF(OR($M10="",$R10=""),"",IF($M10="Jantan",IF($R10&lt;=3,"Cempe Lahir",IF($R10&lt;=6,"Cempe Sapih",IF($R10&lt;=12,"Bakalan","Jantan Siap Kawin"))),IF($M10="Betina",IF($R10&lt;=3,"Cempe Lahir",IF($R10&lt;=6,"Cempe Sapih",IF($R10&lt;=8,"Dara","Betina Siap Kawin"))),"")))</f>
        <v>Cempe Lahir</v>
      </c>
      <c r="T10" s="42" t="n">
        <v>1250000</v>
      </c>
      <c r="U10" s="6" t="s">
        <v>374</v>
      </c>
      <c r="V10" s="9" t="s">
        <v>92</v>
      </c>
      <c r="W10" s="26" t="s">
        <v>375</v>
      </c>
      <c r="X10" s="6"/>
      <c r="Y10" s="6" t="s">
        <v>376</v>
      </c>
      <c r="Z10" s="26" t="s">
        <v>389</v>
      </c>
      <c r="AA10" s="26" t="s">
        <v>390</v>
      </c>
    </row>
    <row r="11" customFormat="false" ht="15" hidden="false" customHeight="true" outlineLevel="0" collapsed="false">
      <c r="A11" s="26" t="n">
        <v>6</v>
      </c>
      <c r="B11" s="39" t="n">
        <v>45928</v>
      </c>
      <c r="C11" s="16" t="s">
        <v>391</v>
      </c>
      <c r="D11" s="5" t="s">
        <v>391</v>
      </c>
      <c r="E11" s="5" t="s">
        <v>391</v>
      </c>
      <c r="F11" s="6"/>
      <c r="G11" s="26" t="n">
        <v>1</v>
      </c>
      <c r="H11" s="5" t="s">
        <v>392</v>
      </c>
      <c r="I11" s="8" t="s">
        <v>238</v>
      </c>
      <c r="J11" s="5" t="s">
        <v>15</v>
      </c>
      <c r="K11" s="8" t="s">
        <v>16</v>
      </c>
      <c r="L11" s="8" t="s">
        <v>252</v>
      </c>
      <c r="M11" s="5" t="s">
        <v>383</v>
      </c>
      <c r="N11" s="5" t="s">
        <v>372</v>
      </c>
      <c r="O11" s="45" t="n">
        <v>4.45</v>
      </c>
      <c r="P11" s="26"/>
      <c r="Q11" s="5" t="s">
        <v>373</v>
      </c>
      <c r="R11" s="8" t="n">
        <f aca="false">IF($B11="","",ROUND(($Q$3-$B11)/30,1))</f>
        <v>-1530.9</v>
      </c>
      <c r="S11" s="8" t="str">
        <f aca="false">IF(OR($M11="",$R11=""),"",IF($M11="Jantan",IF($R11&lt;=3,"Cempe Lahir",IF($R11&lt;=6,"Cempe Sapih",IF($R11&lt;=12,"Bakalan","Jantan Siap Kawin"))),IF($M11="Betina",IF($R11&lt;=3,"Cempe Lahir",IF($R11&lt;=6,"Cempe Sapih",IF($R11&lt;=8,"Dara","Betina Siap Kawin"))),"")))</f>
        <v>Cempe Lahir</v>
      </c>
      <c r="T11" s="42" t="n">
        <v>1250000</v>
      </c>
      <c r="U11" s="6" t="s">
        <v>380</v>
      </c>
      <c r="V11" s="8" t="s">
        <v>87</v>
      </c>
      <c r="W11" s="26" t="s">
        <v>393</v>
      </c>
      <c r="X11" s="5"/>
      <c r="Y11" s="6" t="s">
        <v>376</v>
      </c>
      <c r="Z11" s="26" t="s">
        <v>394</v>
      </c>
      <c r="AA11" s="26" t="s">
        <v>394</v>
      </c>
    </row>
    <row r="12" customFormat="false" ht="15" hidden="false" customHeight="true" outlineLevel="0" collapsed="false">
      <c r="A12" s="26" t="n">
        <v>7</v>
      </c>
      <c r="B12" s="39" t="n">
        <v>45929</v>
      </c>
      <c r="C12" s="16" t="s">
        <v>395</v>
      </c>
      <c r="D12" s="5" t="s">
        <v>395</v>
      </c>
      <c r="E12" s="5" t="s">
        <v>395</v>
      </c>
      <c r="F12" s="6"/>
      <c r="G12" s="26" t="n">
        <v>1</v>
      </c>
      <c r="H12" s="7" t="s">
        <v>343</v>
      </c>
      <c r="I12" s="8" t="s">
        <v>343</v>
      </c>
      <c r="J12" s="5" t="s">
        <v>302</v>
      </c>
      <c r="K12" s="8" t="s">
        <v>15</v>
      </c>
      <c r="L12" s="8" t="s">
        <v>233</v>
      </c>
      <c r="M12" s="5" t="s">
        <v>234</v>
      </c>
      <c r="N12" s="5" t="s">
        <v>372</v>
      </c>
      <c r="O12" s="45" t="n">
        <v>4.8</v>
      </c>
      <c r="P12" s="26"/>
      <c r="Q12" s="5" t="s">
        <v>373</v>
      </c>
      <c r="R12" s="8" t="n">
        <f aca="false">IF($B12="","",ROUND(($Q$3-$B12)/30,1))</f>
        <v>-1531</v>
      </c>
      <c r="S12" s="8" t="str">
        <f aca="false">IF(OR($M12="",$R12=""),"",IF($M12="Jantan",IF($R12&lt;=3,"Cempe Lahir",IF($R12&lt;=6,"Cempe Sapih",IF($R12&lt;=12,"Bakalan","Jantan Siap Kawin"))),IF($M12="Betina",IF($R12&lt;=3,"Cempe Lahir",IF($R12&lt;=6,"Cempe Sapih",IF($R12&lt;=8,"Dara","Betina Siap Kawin"))),"")))</f>
        <v>Cempe Lahir</v>
      </c>
      <c r="T12" s="42" t="n">
        <v>1250000</v>
      </c>
      <c r="U12" s="6" t="s">
        <v>384</v>
      </c>
      <c r="V12" s="9" t="s">
        <v>92</v>
      </c>
      <c r="W12" s="26" t="s">
        <v>375</v>
      </c>
      <c r="X12" s="6"/>
      <c r="Y12" s="6" t="s">
        <v>376</v>
      </c>
      <c r="Z12" s="26" t="s">
        <v>396</v>
      </c>
      <c r="AA12" s="26" t="s">
        <v>396</v>
      </c>
    </row>
    <row r="13" customFormat="false" ht="15" hidden="false" customHeight="true" outlineLevel="0" collapsed="false">
      <c r="A13" s="26" t="n">
        <v>8</v>
      </c>
      <c r="B13" s="39" t="n">
        <v>45937</v>
      </c>
      <c r="C13" s="16" t="s">
        <v>397</v>
      </c>
      <c r="D13" s="5" t="s">
        <v>397</v>
      </c>
      <c r="E13" s="5" t="s">
        <v>397</v>
      </c>
      <c r="F13" s="6"/>
      <c r="G13" s="26" t="n">
        <v>2</v>
      </c>
      <c r="H13" s="5" t="s">
        <v>174</v>
      </c>
      <c r="I13" s="8" t="s">
        <v>174</v>
      </c>
      <c r="J13" s="5" t="s">
        <v>302</v>
      </c>
      <c r="K13" s="8" t="s">
        <v>15</v>
      </c>
      <c r="L13" s="8" t="s">
        <v>233</v>
      </c>
      <c r="M13" s="5" t="s">
        <v>234</v>
      </c>
      <c r="N13" s="5" t="s">
        <v>372</v>
      </c>
      <c r="O13" s="45" t="n">
        <v>4</v>
      </c>
      <c r="P13" s="26"/>
      <c r="Q13" s="5" t="s">
        <v>373</v>
      </c>
      <c r="R13" s="8" t="n">
        <f aca="false">IF($B13="","",ROUND(($Q$3-$B13)/30,1))</f>
        <v>-1531.2</v>
      </c>
      <c r="S13" s="8" t="str">
        <f aca="false">IF(OR($M13="",$R13=""),"",IF($M13="Jantan",IF($R13&lt;=3,"Cempe Lahir",IF($R13&lt;=6,"Cempe Sapih",IF($R13&lt;=12,"Bakalan","Jantan Siap Kawin"))),IF($M13="Betina",IF($R13&lt;=3,"Cempe Lahir",IF($R13&lt;=6,"Cempe Sapih",IF($R13&lt;=8,"Dara","Betina Siap Kawin"))),"")))</f>
        <v>Cempe Lahir</v>
      </c>
      <c r="T13" s="42" t="n">
        <v>1250000</v>
      </c>
      <c r="U13" s="6" t="s">
        <v>386</v>
      </c>
      <c r="V13" s="9" t="s">
        <v>92</v>
      </c>
      <c r="W13" s="26" t="s">
        <v>375</v>
      </c>
      <c r="X13" s="6"/>
      <c r="Y13" s="6" t="s">
        <v>376</v>
      </c>
      <c r="Z13" s="26" t="s">
        <v>398</v>
      </c>
      <c r="AA13" s="26" t="s">
        <v>398</v>
      </c>
    </row>
    <row r="14" customFormat="false" ht="15" hidden="false" customHeight="true" outlineLevel="0" collapsed="false">
      <c r="A14" s="26" t="n">
        <v>9</v>
      </c>
      <c r="B14" s="39" t="n">
        <v>45937</v>
      </c>
      <c r="C14" s="16" t="s">
        <v>399</v>
      </c>
      <c r="D14" s="5" t="s">
        <v>399</v>
      </c>
      <c r="E14" s="5" t="s">
        <v>399</v>
      </c>
      <c r="F14" s="6"/>
      <c r="G14" s="26" t="n">
        <v>2</v>
      </c>
      <c r="H14" s="5" t="s">
        <v>174</v>
      </c>
      <c r="I14" s="8" t="s">
        <v>174</v>
      </c>
      <c r="J14" s="5" t="s">
        <v>302</v>
      </c>
      <c r="K14" s="8" t="s">
        <v>15</v>
      </c>
      <c r="L14" s="8" t="s">
        <v>233</v>
      </c>
      <c r="M14" s="5" t="s">
        <v>383</v>
      </c>
      <c r="N14" s="5" t="s">
        <v>372</v>
      </c>
      <c r="O14" s="45" t="n">
        <v>3.65</v>
      </c>
      <c r="P14" s="26"/>
      <c r="Q14" s="5" t="s">
        <v>373</v>
      </c>
      <c r="R14" s="8" t="n">
        <f aca="false">IF($B14="","",ROUND(($Q$3-$B14)/30,1))</f>
        <v>-1531.2</v>
      </c>
      <c r="S14" s="8" t="str">
        <f aca="false">IF(OR($M14="",$R14=""),"",IF($M14="Jantan",IF($R14&lt;=3,"Cempe Lahir",IF($R14&lt;=6,"Cempe Sapih",IF($R14&lt;=12,"Bakalan","Jantan Siap Kawin"))),IF($M14="Betina",IF($R14&lt;=3,"Cempe Lahir",IF($R14&lt;=6,"Cempe Sapih",IF($R14&lt;=8,"Dara","Betina Siap Kawin"))),"")))</f>
        <v>Cempe Lahir</v>
      </c>
      <c r="T14" s="42" t="n">
        <v>1250000</v>
      </c>
      <c r="U14" s="6" t="s">
        <v>374</v>
      </c>
      <c r="V14" s="9" t="s">
        <v>92</v>
      </c>
      <c r="W14" s="26" t="s">
        <v>375</v>
      </c>
      <c r="X14" s="6"/>
      <c r="Y14" s="6" t="s">
        <v>376</v>
      </c>
      <c r="Z14" s="26" t="s">
        <v>400</v>
      </c>
      <c r="AA14" s="26" t="s">
        <v>400</v>
      </c>
    </row>
    <row r="15" customFormat="false" ht="15" hidden="false" customHeight="true" outlineLevel="0" collapsed="false">
      <c r="A15" s="26" t="n">
        <v>10</v>
      </c>
      <c r="B15" s="39" t="n">
        <v>45942</v>
      </c>
      <c r="C15" s="16" t="s">
        <v>401</v>
      </c>
      <c r="D15" s="5" t="s">
        <v>401</v>
      </c>
      <c r="E15" s="5" t="s">
        <v>401</v>
      </c>
      <c r="F15" s="6"/>
      <c r="G15" s="26" t="n">
        <v>1</v>
      </c>
      <c r="H15" s="7" t="s">
        <v>345</v>
      </c>
      <c r="I15" s="8" t="s">
        <v>345</v>
      </c>
      <c r="J15" s="5" t="s">
        <v>302</v>
      </c>
      <c r="K15" s="8" t="s">
        <v>15</v>
      </c>
      <c r="L15" s="8" t="s">
        <v>233</v>
      </c>
      <c r="M15" s="5" t="s">
        <v>234</v>
      </c>
      <c r="N15" s="5" t="s">
        <v>372</v>
      </c>
      <c r="O15" s="45" t="n">
        <v>3.9</v>
      </c>
      <c r="P15" s="26"/>
      <c r="Q15" s="5" t="s">
        <v>373</v>
      </c>
      <c r="R15" s="8" t="n">
        <f aca="false">IF($B15="","",ROUND(($Q$3-$B15)/30,1))</f>
        <v>-1531.4</v>
      </c>
      <c r="S15" s="8" t="str">
        <f aca="false">IF(OR($M15="",$R15=""),"",IF($M15="Jantan",IF($R15&lt;=3,"Cempe Lahir",IF($R15&lt;=6,"Cempe Sapih",IF($R15&lt;=12,"Bakalan","Jantan Siap Kawin"))),IF($M15="Betina",IF($R15&lt;=3,"Cempe Lahir",IF($R15&lt;=6,"Cempe Sapih",IF($R15&lt;=8,"Dara","Betina Siap Kawin"))),"")))</f>
        <v>Cempe Lahir</v>
      </c>
      <c r="T15" s="42" t="n">
        <v>1250000</v>
      </c>
      <c r="U15" s="6" t="s">
        <v>380</v>
      </c>
      <c r="V15" s="9" t="s">
        <v>92</v>
      </c>
      <c r="W15" s="26" t="s">
        <v>375</v>
      </c>
      <c r="X15" s="6"/>
      <c r="Y15" s="6" t="s">
        <v>376</v>
      </c>
      <c r="Z15" s="26" t="s">
        <v>402</v>
      </c>
      <c r="AA15" s="26" t="s">
        <v>402</v>
      </c>
    </row>
    <row r="16" customFormat="false" ht="15" hidden="false" customHeight="true" outlineLevel="0" collapsed="false">
      <c r="A16" s="26" t="n">
        <v>11</v>
      </c>
      <c r="B16" s="39" t="n">
        <v>45947</v>
      </c>
      <c r="C16" s="16" t="s">
        <v>403</v>
      </c>
      <c r="D16" s="5" t="s">
        <v>403</v>
      </c>
      <c r="E16" s="5" t="s">
        <v>403</v>
      </c>
      <c r="F16" s="6"/>
      <c r="G16" s="26" t="n">
        <v>1</v>
      </c>
      <c r="H16" s="5" t="s">
        <v>311</v>
      </c>
      <c r="I16" s="8" t="s">
        <v>311</v>
      </c>
      <c r="J16" s="5" t="s">
        <v>302</v>
      </c>
      <c r="K16" s="8" t="s">
        <v>15</v>
      </c>
      <c r="L16" s="8" t="s">
        <v>233</v>
      </c>
      <c r="M16" s="5" t="s">
        <v>234</v>
      </c>
      <c r="N16" s="5" t="s">
        <v>372</v>
      </c>
      <c r="O16" s="45" t="n">
        <v>2.35</v>
      </c>
      <c r="P16" s="26"/>
      <c r="Q16" s="5" t="s">
        <v>373</v>
      </c>
      <c r="R16" s="8" t="n">
        <f aca="false">IF($B16="","",ROUND(($Q$3-$B16)/30,1))</f>
        <v>-1531.6</v>
      </c>
      <c r="S16" s="8" t="str">
        <f aca="false">IF(OR($M16="",$R16=""),"",IF($M16="Jantan",IF($R16&lt;=3,"Cempe Lahir",IF($R16&lt;=6,"Cempe Sapih",IF($R16&lt;=12,"Bakalan","Jantan Siap Kawin"))),IF($M16="Betina",IF($R16&lt;=3,"Cempe Lahir",IF($R16&lt;=6,"Cempe Sapih",IF($R16&lt;=8,"Dara","Betina Siap Kawin"))),"")))</f>
        <v>Cempe Lahir</v>
      </c>
      <c r="T16" s="42" t="n">
        <v>1250000</v>
      </c>
      <c r="U16" s="6" t="s">
        <v>384</v>
      </c>
      <c r="V16" s="9" t="s">
        <v>92</v>
      </c>
      <c r="W16" s="26" t="s">
        <v>375</v>
      </c>
      <c r="X16" s="6"/>
      <c r="Y16" s="6" t="s">
        <v>376</v>
      </c>
      <c r="Z16" s="26" t="s">
        <v>404</v>
      </c>
      <c r="AA16" s="26" t="s">
        <v>404</v>
      </c>
    </row>
    <row r="17" customFormat="false" ht="15" hidden="false" customHeight="true" outlineLevel="0" collapsed="false">
      <c r="A17" s="26" t="n">
        <v>12</v>
      </c>
      <c r="B17" s="39" t="n">
        <v>45947</v>
      </c>
      <c r="C17" s="16" t="s">
        <v>405</v>
      </c>
      <c r="D17" s="5" t="s">
        <v>405</v>
      </c>
      <c r="E17" s="5" t="s">
        <v>405</v>
      </c>
      <c r="F17" s="6"/>
      <c r="G17" s="26" t="n">
        <v>2</v>
      </c>
      <c r="H17" s="5" t="s">
        <v>171</v>
      </c>
      <c r="I17" s="8" t="s">
        <v>171</v>
      </c>
      <c r="J17" s="5" t="s">
        <v>302</v>
      </c>
      <c r="K17" s="8" t="s">
        <v>15</v>
      </c>
      <c r="L17" s="8" t="s">
        <v>233</v>
      </c>
      <c r="M17" s="5" t="s">
        <v>383</v>
      </c>
      <c r="N17" s="5" t="s">
        <v>372</v>
      </c>
      <c r="O17" s="45" t="n">
        <v>3.65</v>
      </c>
      <c r="P17" s="26"/>
      <c r="Q17" s="5" t="s">
        <v>373</v>
      </c>
      <c r="R17" s="8" t="n">
        <f aca="false">IF($B17="","",ROUND(($Q$3-$B17)/30,1))</f>
        <v>-1531.6</v>
      </c>
      <c r="S17" s="8" t="str">
        <f aca="false">IF(OR($M17="",$R17=""),"",IF($M17="Jantan",IF($R17&lt;=3,"Cempe Lahir",IF($R17&lt;=6,"Cempe Sapih",IF($R17&lt;=12,"Bakalan","Jantan Siap Kawin"))),IF($M17="Betina",IF($R17&lt;=3,"Cempe Lahir",IF($R17&lt;=6,"Cempe Sapih",IF($R17&lt;=8,"Dara","Betina Siap Kawin"))),"")))</f>
        <v>Cempe Lahir</v>
      </c>
      <c r="T17" s="42" t="n">
        <v>1250000</v>
      </c>
      <c r="U17" s="6" t="s">
        <v>386</v>
      </c>
      <c r="V17" s="9" t="s">
        <v>92</v>
      </c>
      <c r="W17" s="26" t="s">
        <v>375</v>
      </c>
      <c r="X17" s="6"/>
      <c r="Y17" s="6" t="s">
        <v>376</v>
      </c>
      <c r="Z17" s="26" t="s">
        <v>406</v>
      </c>
      <c r="AA17" s="26" t="s">
        <v>406</v>
      </c>
    </row>
    <row r="18" customFormat="false" ht="15" hidden="false" customHeight="true" outlineLevel="0" collapsed="false">
      <c r="A18" s="26" t="n">
        <v>13</v>
      </c>
      <c r="B18" s="39" t="n">
        <v>45947</v>
      </c>
      <c r="C18" s="16" t="s">
        <v>407</v>
      </c>
      <c r="D18" s="5" t="s">
        <v>407</v>
      </c>
      <c r="E18" s="5" t="s">
        <v>407</v>
      </c>
      <c r="F18" s="6"/>
      <c r="G18" s="26" t="n">
        <v>2</v>
      </c>
      <c r="H18" s="5" t="s">
        <v>171</v>
      </c>
      <c r="I18" s="8" t="s">
        <v>171</v>
      </c>
      <c r="J18" s="5" t="s">
        <v>302</v>
      </c>
      <c r="K18" s="8" t="s">
        <v>15</v>
      </c>
      <c r="L18" s="8" t="s">
        <v>233</v>
      </c>
      <c r="M18" s="5" t="s">
        <v>383</v>
      </c>
      <c r="N18" s="5" t="s">
        <v>372</v>
      </c>
      <c r="O18" s="45" t="n">
        <v>4.05</v>
      </c>
      <c r="P18" s="26"/>
      <c r="Q18" s="5" t="s">
        <v>373</v>
      </c>
      <c r="R18" s="8" t="n">
        <f aca="false">IF($B18="","",ROUND(($Q$3-$B18)/30,1))</f>
        <v>-1531.6</v>
      </c>
      <c r="S18" s="8" t="str">
        <f aca="false">IF(OR($M18="",$R18=""),"",IF($M18="Jantan",IF($R18&lt;=3,"Cempe Lahir",IF($R18&lt;=6,"Cempe Sapih",IF($R18&lt;=12,"Bakalan","Jantan Siap Kawin"))),IF($M18="Betina",IF($R18&lt;=3,"Cempe Lahir",IF($R18&lt;=6,"Cempe Sapih",IF($R18&lt;=8,"Dara","Betina Siap Kawin"))),"")))</f>
        <v>Cempe Lahir</v>
      </c>
      <c r="T18" s="42" t="n">
        <v>1250000</v>
      </c>
      <c r="U18" s="6" t="s">
        <v>374</v>
      </c>
      <c r="V18" s="9" t="s">
        <v>92</v>
      </c>
      <c r="W18" s="26" t="s">
        <v>375</v>
      </c>
      <c r="X18" s="6"/>
      <c r="Y18" s="6" t="s">
        <v>376</v>
      </c>
      <c r="Z18" s="26" t="s">
        <v>408</v>
      </c>
      <c r="AA18" s="26" t="s">
        <v>408</v>
      </c>
    </row>
    <row r="19" customFormat="false" ht="15" hidden="false" customHeight="true" outlineLevel="0" collapsed="false">
      <c r="A19" s="26" t="n">
        <v>14</v>
      </c>
      <c r="B19" s="39" t="n">
        <v>45954</v>
      </c>
      <c r="C19" s="16" t="s">
        <v>409</v>
      </c>
      <c r="D19" s="5" t="s">
        <v>409</v>
      </c>
      <c r="E19" s="5" t="s">
        <v>409</v>
      </c>
      <c r="F19" s="6"/>
      <c r="G19" s="26" t="n">
        <v>1</v>
      </c>
      <c r="H19" s="5" t="s">
        <v>327</v>
      </c>
      <c r="I19" s="8" t="s">
        <v>327</v>
      </c>
      <c r="J19" s="5" t="s">
        <v>16</v>
      </c>
      <c r="K19" s="8" t="s">
        <v>18</v>
      </c>
      <c r="L19" s="8" t="s">
        <v>410</v>
      </c>
      <c r="M19" s="5" t="s">
        <v>234</v>
      </c>
      <c r="N19" s="5" t="s">
        <v>372</v>
      </c>
      <c r="O19" s="45" t="n">
        <v>2.65</v>
      </c>
      <c r="P19" s="26"/>
      <c r="Q19" s="5" t="s">
        <v>373</v>
      </c>
      <c r="R19" s="8" t="n">
        <f aca="false">IF($B19="","",ROUND(($Q$3-$B19)/30,1))</f>
        <v>-1531.8</v>
      </c>
      <c r="S19" s="8" t="str">
        <f aca="false">IF(OR($M19="",$R19=""),"",IF($M19="Jantan",IF($R19&lt;=3,"Cempe Lahir",IF($R19&lt;=6,"Cempe Sapih",IF($R19&lt;=12,"Bakalan","Jantan Siap Kawin"))),IF($M19="Betina",IF($R19&lt;=3,"Cempe Lahir",IF($R19&lt;=6,"Cempe Sapih",IF($R19&lt;=8,"Dara","Betina Siap Kawin"))),"")))</f>
        <v>Cempe Lahir</v>
      </c>
      <c r="T19" s="42" t="n">
        <v>1250000</v>
      </c>
      <c r="U19" s="6" t="s">
        <v>380</v>
      </c>
      <c r="V19" s="9" t="s">
        <v>92</v>
      </c>
      <c r="W19" s="26" t="s">
        <v>375</v>
      </c>
      <c r="X19" s="6"/>
      <c r="Y19" s="26" t="s">
        <v>381</v>
      </c>
      <c r="Z19" s="26"/>
      <c r="AA19" s="26"/>
    </row>
    <row r="20" customFormat="false" ht="15" hidden="false" customHeight="true" outlineLevel="0" collapsed="false">
      <c r="A20" s="26" t="n">
        <v>15</v>
      </c>
      <c r="B20" s="39" t="n">
        <v>45957</v>
      </c>
      <c r="C20" s="16" t="s">
        <v>411</v>
      </c>
      <c r="D20" s="5" t="s">
        <v>411</v>
      </c>
      <c r="E20" s="5" t="s">
        <v>411</v>
      </c>
      <c r="F20" s="6"/>
      <c r="G20" s="26" t="n">
        <v>2</v>
      </c>
      <c r="H20" s="5" t="s">
        <v>412</v>
      </c>
      <c r="I20" s="8" t="s">
        <v>170</v>
      </c>
      <c r="J20" s="5" t="s">
        <v>413</v>
      </c>
      <c r="K20" s="8" t="s">
        <v>15</v>
      </c>
      <c r="L20" s="8" t="s">
        <v>233</v>
      </c>
      <c r="M20" s="5" t="s">
        <v>383</v>
      </c>
      <c r="N20" s="5" t="s">
        <v>372</v>
      </c>
      <c r="O20" s="45" t="n">
        <v>4.4</v>
      </c>
      <c r="P20" s="26"/>
      <c r="Q20" s="5" t="s">
        <v>373</v>
      </c>
      <c r="R20" s="8" t="n">
        <f aca="false">IF($B20="","",ROUND(($Q$3-$B20)/30,1))</f>
        <v>-1531.9</v>
      </c>
      <c r="S20" s="8" t="str">
        <f aca="false">IF(OR($M20="",$R20=""),"",IF($M20="Jantan",IF($R20&lt;=3,"Cempe Lahir",IF($R20&lt;=6,"Cempe Sapih",IF($R20&lt;=12,"Bakalan","Jantan Siap Kawin"))),IF($M20="Betina",IF($R20&lt;=3,"Cempe Lahir",IF($R20&lt;=6,"Cempe Sapih",IF($R20&lt;=8,"Dara","Betina Siap Kawin"))),"")))</f>
        <v>Cempe Lahir</v>
      </c>
      <c r="T20" s="42" t="n">
        <v>1250000</v>
      </c>
      <c r="U20" s="6" t="s">
        <v>384</v>
      </c>
      <c r="V20" s="8" t="s">
        <v>91</v>
      </c>
      <c r="W20" s="26" t="s">
        <v>375</v>
      </c>
      <c r="X20" s="5"/>
      <c r="Y20" s="6" t="s">
        <v>376</v>
      </c>
      <c r="Z20" s="26" t="s">
        <v>414</v>
      </c>
      <c r="AA20" s="26" t="s">
        <v>414</v>
      </c>
    </row>
    <row r="21" customFormat="false" ht="15" hidden="false" customHeight="true" outlineLevel="0" collapsed="false">
      <c r="A21" s="26" t="n">
        <v>16</v>
      </c>
      <c r="B21" s="39" t="n">
        <v>45957</v>
      </c>
      <c r="C21" s="16" t="s">
        <v>415</v>
      </c>
      <c r="D21" s="5" t="s">
        <v>415</v>
      </c>
      <c r="E21" s="5" t="s">
        <v>415</v>
      </c>
      <c r="F21" s="6"/>
      <c r="G21" s="26" t="n">
        <v>2</v>
      </c>
      <c r="H21" s="5" t="s">
        <v>412</v>
      </c>
      <c r="I21" s="8" t="s">
        <v>170</v>
      </c>
      <c r="J21" s="5" t="s">
        <v>413</v>
      </c>
      <c r="K21" s="8" t="s">
        <v>15</v>
      </c>
      <c r="L21" s="8" t="s">
        <v>233</v>
      </c>
      <c r="M21" s="5" t="s">
        <v>234</v>
      </c>
      <c r="N21" s="5" t="s">
        <v>372</v>
      </c>
      <c r="O21" s="45" t="n">
        <v>3.9</v>
      </c>
      <c r="P21" s="26"/>
      <c r="Q21" s="5" t="s">
        <v>373</v>
      </c>
      <c r="R21" s="8" t="n">
        <f aca="false">IF($B21="","",ROUND(($Q$3-$B21)/30,1))</f>
        <v>-1531.9</v>
      </c>
      <c r="S21" s="8" t="str">
        <f aca="false">IF(OR($M21="",$R21=""),"",IF($M21="Jantan",IF($R21&lt;=3,"Cempe Lahir",IF($R21&lt;=6,"Cempe Sapih",IF($R21&lt;=12,"Bakalan","Jantan Siap Kawin"))),IF($M21="Betina",IF($R21&lt;=3,"Cempe Lahir",IF($R21&lt;=6,"Cempe Sapih",IF($R21&lt;=8,"Dara","Betina Siap Kawin"))),"")))</f>
        <v>Cempe Lahir</v>
      </c>
      <c r="T21" s="42" t="n">
        <v>1250000</v>
      </c>
      <c r="U21" s="6" t="s">
        <v>386</v>
      </c>
      <c r="V21" s="8" t="s">
        <v>91</v>
      </c>
      <c r="W21" s="26" t="s">
        <v>375</v>
      </c>
      <c r="X21" s="5"/>
      <c r="Y21" s="26" t="s">
        <v>381</v>
      </c>
      <c r="Z21" s="26"/>
      <c r="AA21" s="26"/>
    </row>
    <row r="22" customFormat="false" ht="15" hidden="false" customHeight="true" outlineLevel="0" collapsed="false">
      <c r="A22" s="26" t="n">
        <v>17</v>
      </c>
      <c r="B22" s="39" t="n">
        <v>45960</v>
      </c>
      <c r="C22" s="16" t="s">
        <v>416</v>
      </c>
      <c r="D22" s="5" t="s">
        <v>416</v>
      </c>
      <c r="E22" s="5" t="s">
        <v>416</v>
      </c>
      <c r="F22" s="6"/>
      <c r="G22" s="26" t="n">
        <v>1</v>
      </c>
      <c r="H22" s="5" t="s">
        <v>176</v>
      </c>
      <c r="I22" s="8" t="s">
        <v>176</v>
      </c>
      <c r="J22" s="5" t="s">
        <v>302</v>
      </c>
      <c r="K22" s="8" t="s">
        <v>15</v>
      </c>
      <c r="L22" s="8" t="s">
        <v>233</v>
      </c>
      <c r="M22" s="5" t="s">
        <v>234</v>
      </c>
      <c r="N22" s="5" t="s">
        <v>372</v>
      </c>
      <c r="O22" s="45" t="n">
        <v>4.95</v>
      </c>
      <c r="P22" s="26"/>
      <c r="Q22" s="5" t="s">
        <v>373</v>
      </c>
      <c r="R22" s="8" t="n">
        <f aca="false">IF($B22="","",ROUND(($Q$3-$B22)/30,1))</f>
        <v>-1532</v>
      </c>
      <c r="S22" s="8" t="str">
        <f aca="false">IF(OR($M22="",$R22=""),"",IF($M22="Jantan",IF($R22&lt;=3,"Cempe Lahir",IF($R22&lt;=6,"Cempe Sapih",IF($R22&lt;=12,"Bakalan","Jantan Siap Kawin"))),IF($M22="Betina",IF($R22&lt;=3,"Cempe Lahir",IF($R22&lt;=6,"Cempe Sapih",IF($R22&lt;=8,"Dara","Betina Siap Kawin"))),"")))</f>
        <v>Cempe Lahir</v>
      </c>
      <c r="T22" s="42" t="n">
        <v>1250000</v>
      </c>
      <c r="U22" s="6" t="s">
        <v>374</v>
      </c>
      <c r="V22" s="9" t="s">
        <v>92</v>
      </c>
      <c r="W22" s="26" t="s">
        <v>375</v>
      </c>
      <c r="X22" s="6"/>
      <c r="Y22" s="6" t="s">
        <v>376</v>
      </c>
      <c r="Z22" s="26" t="s">
        <v>417</v>
      </c>
      <c r="AA22" s="26" t="s">
        <v>417</v>
      </c>
    </row>
    <row r="23" customFormat="false" ht="15" hidden="false" customHeight="true" outlineLevel="0" collapsed="false">
      <c r="A23" s="26" t="n">
        <v>18</v>
      </c>
      <c r="B23" s="39" t="n">
        <v>45963</v>
      </c>
      <c r="C23" s="16" t="s">
        <v>418</v>
      </c>
      <c r="D23" s="5" t="s">
        <v>418</v>
      </c>
      <c r="E23" s="5" t="s">
        <v>418</v>
      </c>
      <c r="F23" s="6"/>
      <c r="G23" s="26" t="n">
        <v>3</v>
      </c>
      <c r="H23" s="5" t="s">
        <v>419</v>
      </c>
      <c r="I23" s="8" t="s">
        <v>172</v>
      </c>
      <c r="J23" s="5" t="s">
        <v>302</v>
      </c>
      <c r="K23" s="8" t="s">
        <v>15</v>
      </c>
      <c r="L23" s="8" t="s">
        <v>233</v>
      </c>
      <c r="M23" s="5" t="s">
        <v>383</v>
      </c>
      <c r="N23" s="5" t="s">
        <v>372</v>
      </c>
      <c r="O23" s="45" t="n">
        <v>2.1</v>
      </c>
      <c r="P23" s="26"/>
      <c r="Q23" s="5" t="s">
        <v>373</v>
      </c>
      <c r="R23" s="8" t="n">
        <f aca="false">IF($B23="","",ROUND(($Q$3-$B23)/30,1))</f>
        <v>-1532.1</v>
      </c>
      <c r="S23" s="8" t="str">
        <f aca="false">IF(OR($M23="",$R23=""),"",IF($M23="Jantan",IF($R23&lt;=3,"Cempe Lahir",IF($R23&lt;=6,"Cempe Sapih",IF($R23&lt;=12,"Bakalan","Jantan Siap Kawin"))),IF($M23="Betina",IF($R23&lt;=3,"Cempe Lahir",IF($R23&lt;=6,"Cempe Sapih",IF($R23&lt;=8,"Dara","Betina Siap Kawin"))),"")))</f>
        <v>Cempe Lahir</v>
      </c>
      <c r="T23" s="42" t="n">
        <v>1250000</v>
      </c>
      <c r="U23" s="6" t="s">
        <v>380</v>
      </c>
      <c r="V23" s="8" t="s">
        <v>87</v>
      </c>
      <c r="W23" s="26" t="s">
        <v>375</v>
      </c>
      <c r="X23" s="5"/>
      <c r="Y23" s="6" t="s">
        <v>376</v>
      </c>
      <c r="Z23" s="26" t="s">
        <v>420</v>
      </c>
      <c r="AA23" s="26" t="s">
        <v>420</v>
      </c>
    </row>
    <row r="24" customFormat="false" ht="15" hidden="false" customHeight="true" outlineLevel="0" collapsed="false">
      <c r="A24" s="26" t="n">
        <v>19</v>
      </c>
      <c r="B24" s="39" t="n">
        <v>45963</v>
      </c>
      <c r="C24" s="16" t="s">
        <v>421</v>
      </c>
      <c r="D24" s="5" t="s">
        <v>421</v>
      </c>
      <c r="E24" s="5" t="s">
        <v>421</v>
      </c>
      <c r="F24" s="6"/>
      <c r="G24" s="26" t="n">
        <v>3</v>
      </c>
      <c r="H24" s="5" t="s">
        <v>419</v>
      </c>
      <c r="I24" s="8" t="s">
        <v>172</v>
      </c>
      <c r="J24" s="5" t="s">
        <v>302</v>
      </c>
      <c r="K24" s="8" t="s">
        <v>15</v>
      </c>
      <c r="L24" s="8" t="s">
        <v>233</v>
      </c>
      <c r="M24" s="5" t="s">
        <v>383</v>
      </c>
      <c r="N24" s="5" t="s">
        <v>372</v>
      </c>
      <c r="O24" s="45" t="n">
        <v>2.45</v>
      </c>
      <c r="P24" s="26"/>
      <c r="Q24" s="5" t="s">
        <v>373</v>
      </c>
      <c r="R24" s="8" t="n">
        <f aca="false">IF($B24="","",ROUND(($Q$3-$B24)/30,1))</f>
        <v>-1532.1</v>
      </c>
      <c r="S24" s="8" t="str">
        <f aca="false">IF(OR($M24="",$R24=""),"",IF($M24="Jantan",IF($R24&lt;=3,"Cempe Lahir",IF($R24&lt;=6,"Cempe Sapih",IF($R24&lt;=12,"Bakalan","Jantan Siap Kawin"))),IF($M24="Betina",IF($R24&lt;=3,"Cempe Lahir",IF($R24&lt;=6,"Cempe Sapih",IF($R24&lt;=8,"Dara","Betina Siap Kawin"))),"")))</f>
        <v>Cempe Lahir</v>
      </c>
      <c r="T24" s="42" t="n">
        <v>1250000</v>
      </c>
      <c r="U24" s="6" t="s">
        <v>384</v>
      </c>
      <c r="V24" s="8" t="s">
        <v>87</v>
      </c>
      <c r="W24" s="26" t="s">
        <v>375</v>
      </c>
      <c r="X24" s="5"/>
      <c r="Y24" s="26" t="s">
        <v>381</v>
      </c>
      <c r="Z24" s="26"/>
      <c r="AA24" s="26"/>
    </row>
    <row r="25" customFormat="false" ht="15" hidden="false" customHeight="true" outlineLevel="0" collapsed="false">
      <c r="A25" s="26" t="n">
        <v>20</v>
      </c>
      <c r="B25" s="39" t="n">
        <v>45963</v>
      </c>
      <c r="C25" s="16" t="s">
        <v>422</v>
      </c>
      <c r="D25" s="5" t="s">
        <v>422</v>
      </c>
      <c r="E25" s="5" t="s">
        <v>422</v>
      </c>
      <c r="F25" s="6"/>
      <c r="G25" s="26" t="n">
        <v>3</v>
      </c>
      <c r="H25" s="5" t="s">
        <v>419</v>
      </c>
      <c r="I25" s="8" t="s">
        <v>172</v>
      </c>
      <c r="J25" s="5" t="s">
        <v>302</v>
      </c>
      <c r="K25" s="8" t="s">
        <v>15</v>
      </c>
      <c r="L25" s="8" t="s">
        <v>233</v>
      </c>
      <c r="M25" s="5" t="s">
        <v>383</v>
      </c>
      <c r="N25" s="5" t="s">
        <v>372</v>
      </c>
      <c r="O25" s="45" t="n">
        <v>2.7</v>
      </c>
      <c r="P25" s="26"/>
      <c r="Q25" s="5" t="s">
        <v>373</v>
      </c>
      <c r="R25" s="8" t="n">
        <f aca="false">IF($B25="","",ROUND(($Q$3-$B25)/30,1))</f>
        <v>-1532.1</v>
      </c>
      <c r="S25" s="8" t="str">
        <f aca="false">IF(OR($M25="",$R25=""),"",IF($M25="Jantan",IF($R25&lt;=3,"Cempe Lahir",IF($R25&lt;=6,"Cempe Sapih",IF($R25&lt;=12,"Bakalan","Jantan Siap Kawin"))),IF($M25="Betina",IF($R25&lt;=3,"Cempe Lahir",IF($R25&lt;=6,"Cempe Sapih",IF($R25&lt;=8,"Dara","Betina Siap Kawin"))),"")))</f>
        <v>Cempe Lahir</v>
      </c>
      <c r="T25" s="42" t="n">
        <v>1250000</v>
      </c>
      <c r="U25" s="6" t="s">
        <v>386</v>
      </c>
      <c r="V25" s="8" t="s">
        <v>87</v>
      </c>
      <c r="W25" s="26" t="s">
        <v>375</v>
      </c>
      <c r="X25" s="5"/>
      <c r="Y25" s="26" t="s">
        <v>381</v>
      </c>
      <c r="Z25" s="26"/>
      <c r="AA25" s="26"/>
    </row>
    <row r="26" customFormat="false" ht="15" hidden="false" customHeight="true" outlineLevel="0" collapsed="false">
      <c r="A26" s="26" t="n">
        <v>21</v>
      </c>
      <c r="B26" s="39" t="n">
        <v>45969</v>
      </c>
      <c r="C26" s="16" t="s">
        <v>423</v>
      </c>
      <c r="D26" s="5" t="s">
        <v>423</v>
      </c>
      <c r="E26" s="5" t="s">
        <v>423</v>
      </c>
      <c r="F26" s="6"/>
      <c r="G26" s="26" t="n">
        <v>1</v>
      </c>
      <c r="H26" s="5" t="s">
        <v>308</v>
      </c>
      <c r="I26" s="8" t="s">
        <v>308</v>
      </c>
      <c r="J26" s="5" t="s">
        <v>302</v>
      </c>
      <c r="K26" s="8" t="s">
        <v>15</v>
      </c>
      <c r="L26" s="8" t="s">
        <v>233</v>
      </c>
      <c r="M26" s="5" t="s">
        <v>383</v>
      </c>
      <c r="N26" s="5" t="s">
        <v>372</v>
      </c>
      <c r="O26" s="45" t="n">
        <v>4.95</v>
      </c>
      <c r="P26" s="26"/>
      <c r="Q26" s="5" t="s">
        <v>373</v>
      </c>
      <c r="R26" s="8" t="n">
        <f aca="false">IF($B26="","",ROUND(($Q$3-$B26)/30,1))</f>
        <v>-1532.3</v>
      </c>
      <c r="S26" s="8" t="str">
        <f aca="false">IF(OR($M26="",$R26=""),"",IF($M26="Jantan",IF($R26&lt;=3,"Cempe Lahir",IF($R26&lt;=6,"Cempe Sapih",IF($R26&lt;=12,"Bakalan","Jantan Siap Kawin"))),IF($M26="Betina",IF($R26&lt;=3,"Cempe Lahir",IF($R26&lt;=6,"Cempe Sapih",IF($R26&lt;=8,"Dara","Betina Siap Kawin"))),"")))</f>
        <v>Cempe Lahir</v>
      </c>
      <c r="T26" s="42" t="n">
        <v>1250000</v>
      </c>
      <c r="U26" s="6" t="s">
        <v>374</v>
      </c>
      <c r="V26" s="9" t="s">
        <v>92</v>
      </c>
      <c r="W26" s="26" t="s">
        <v>375</v>
      </c>
      <c r="X26" s="6"/>
      <c r="Y26" s="26" t="s">
        <v>381</v>
      </c>
      <c r="Z26" s="26"/>
      <c r="AA26" s="26"/>
    </row>
    <row r="27" customFormat="false" ht="15" hidden="false" customHeight="true" outlineLevel="0" collapsed="false">
      <c r="A27" s="26" t="n">
        <v>22</v>
      </c>
      <c r="B27" s="39" t="n">
        <v>45971</v>
      </c>
      <c r="C27" s="16" t="s">
        <v>424</v>
      </c>
      <c r="D27" s="5" t="s">
        <v>424</v>
      </c>
      <c r="E27" s="5" t="s">
        <v>424</v>
      </c>
      <c r="F27" s="6"/>
      <c r="G27" s="26" t="n">
        <v>1</v>
      </c>
      <c r="H27" s="5" t="s">
        <v>323</v>
      </c>
      <c r="I27" s="8" t="s">
        <v>322</v>
      </c>
      <c r="J27" s="5" t="s">
        <v>302</v>
      </c>
      <c r="K27" s="8" t="s">
        <v>15</v>
      </c>
      <c r="L27" s="8" t="s">
        <v>233</v>
      </c>
      <c r="M27" s="5" t="s">
        <v>383</v>
      </c>
      <c r="N27" s="5" t="s">
        <v>372</v>
      </c>
      <c r="O27" s="45" t="n">
        <v>4.65</v>
      </c>
      <c r="P27" s="26"/>
      <c r="Q27" s="5" t="s">
        <v>373</v>
      </c>
      <c r="R27" s="8" t="n">
        <f aca="false">IF($B27="","",ROUND(($Q$3-$B27)/30,1))</f>
        <v>-1532.4</v>
      </c>
      <c r="S27" s="8" t="str">
        <f aca="false">IF(OR($M27="",$R27=""),"",IF($M27="Jantan",IF($R27&lt;=3,"Cempe Lahir",IF($R27&lt;=6,"Cempe Sapih",IF($R27&lt;=12,"Bakalan","Jantan Siap Kawin"))),IF($M27="Betina",IF($R27&lt;=3,"Cempe Lahir",IF($R27&lt;=6,"Cempe Sapih",IF($R27&lt;=8,"Dara","Betina Siap Kawin"))),"")))</f>
        <v>Cempe Lahir</v>
      </c>
      <c r="T27" s="42" t="n">
        <v>1250000</v>
      </c>
      <c r="U27" s="6" t="s">
        <v>380</v>
      </c>
      <c r="V27" s="9" t="s">
        <v>92</v>
      </c>
      <c r="W27" s="26" t="s">
        <v>375</v>
      </c>
      <c r="X27" s="6"/>
      <c r="Y27" s="26" t="s">
        <v>381</v>
      </c>
      <c r="Z27" s="26"/>
      <c r="AA27" s="26"/>
    </row>
    <row r="28" customFormat="false" ht="15" hidden="false" customHeight="true" outlineLevel="0" collapsed="false">
      <c r="A28" s="26" t="n">
        <v>23</v>
      </c>
      <c r="B28" s="39" t="n">
        <v>45973</v>
      </c>
      <c r="C28" s="43" t="s">
        <v>425</v>
      </c>
      <c r="D28" s="7" t="s">
        <v>425</v>
      </c>
      <c r="E28" s="5"/>
      <c r="F28" s="6"/>
      <c r="G28" s="26" t="n">
        <v>1</v>
      </c>
      <c r="H28" s="7" t="s">
        <v>347</v>
      </c>
      <c r="I28" s="8" t="s">
        <v>347</v>
      </c>
      <c r="J28" s="5"/>
      <c r="K28" s="8" t="s">
        <v>15</v>
      </c>
      <c r="L28" s="8" t="s">
        <v>233</v>
      </c>
      <c r="M28" s="5" t="s">
        <v>383</v>
      </c>
      <c r="N28" s="5" t="s">
        <v>372</v>
      </c>
      <c r="O28" s="45" t="n">
        <v>3.45</v>
      </c>
      <c r="P28" s="26"/>
      <c r="Q28" s="5" t="s">
        <v>373</v>
      </c>
      <c r="R28" s="8" t="n">
        <f aca="false">IF($B28="","",ROUND(($Q$3-$B28)/30,1))</f>
        <v>-1532.4</v>
      </c>
      <c r="S28" s="8" t="str">
        <f aca="false">IF(OR($M28="",$R28=""),"",IF($M28="Jantan",IF($R28&lt;=3,"Cempe Lahir",IF($R28&lt;=6,"Cempe Sapih",IF($R28&lt;=12,"Bakalan","Jantan Siap Kawin"))),IF($M28="Betina",IF($R28&lt;=3,"Cempe Lahir",IF($R28&lt;=6,"Cempe Sapih",IF($R28&lt;=8,"Dara","Betina Siap Kawin"))),"")))</f>
        <v>Cempe Lahir</v>
      </c>
      <c r="T28" s="42" t="n">
        <v>1250000</v>
      </c>
      <c r="U28" s="6" t="s">
        <v>384</v>
      </c>
      <c r="V28" s="9" t="s">
        <v>92</v>
      </c>
      <c r="W28" s="26" t="s">
        <v>375</v>
      </c>
      <c r="X28" s="6"/>
      <c r="Y28" s="7" t="s">
        <v>426</v>
      </c>
      <c r="Z28" s="7" t="s">
        <v>427</v>
      </c>
      <c r="AA28" s="26" t="s">
        <v>428</v>
      </c>
    </row>
    <row r="29" customFormat="false" ht="15" hidden="false" customHeight="true" outlineLevel="0" collapsed="false">
      <c r="A29" s="26" t="n">
        <v>24</v>
      </c>
      <c r="B29" s="39" t="n">
        <v>45977</v>
      </c>
      <c r="C29" s="16" t="s">
        <v>429</v>
      </c>
      <c r="D29" s="5" t="s">
        <v>429</v>
      </c>
      <c r="E29" s="5" t="s">
        <v>429</v>
      </c>
      <c r="F29" s="6"/>
      <c r="G29" s="26" t="n">
        <v>3</v>
      </c>
      <c r="H29" s="5" t="s">
        <v>430</v>
      </c>
      <c r="I29" s="8" t="s">
        <v>173</v>
      </c>
      <c r="J29" s="5" t="s">
        <v>302</v>
      </c>
      <c r="K29" s="8" t="s">
        <v>15</v>
      </c>
      <c r="L29" s="8" t="s">
        <v>233</v>
      </c>
      <c r="M29" s="5" t="s">
        <v>383</v>
      </c>
      <c r="N29" s="5" t="s">
        <v>372</v>
      </c>
      <c r="O29" s="45" t="n">
        <v>2.25</v>
      </c>
      <c r="P29" s="26"/>
      <c r="Q29" s="5" t="s">
        <v>373</v>
      </c>
      <c r="R29" s="8" t="n">
        <f aca="false">IF($B29="","",ROUND(($Q$3-$B29)/30,1))</f>
        <v>-1532.6</v>
      </c>
      <c r="S29" s="8" t="str">
        <f aca="false">IF(OR($M29="",$R29=""),"",IF($M29="Jantan",IF($R29&lt;=3,"Cempe Lahir",IF($R29&lt;=6,"Cempe Sapih",IF($R29&lt;=12,"Bakalan","Jantan Siap Kawin"))),IF($M29="Betina",IF($R29&lt;=3,"Cempe Lahir",IF($R29&lt;=6,"Cempe Sapih",IF($R29&lt;=8,"Dara","Betina Siap Kawin"))),"")))</f>
        <v>Cempe Lahir</v>
      </c>
      <c r="T29" s="42" t="n">
        <v>1250000</v>
      </c>
      <c r="U29" s="6" t="s">
        <v>386</v>
      </c>
      <c r="V29" s="8" t="s">
        <v>91</v>
      </c>
      <c r="W29" s="26" t="s">
        <v>375</v>
      </c>
      <c r="X29" s="5"/>
      <c r="Y29" s="26" t="s">
        <v>381</v>
      </c>
      <c r="Z29" s="26" t="s">
        <v>431</v>
      </c>
      <c r="AA29" s="26" t="s">
        <v>431</v>
      </c>
    </row>
    <row r="30" customFormat="false" ht="15" hidden="false" customHeight="true" outlineLevel="0" collapsed="false">
      <c r="A30" s="26" t="n">
        <v>25</v>
      </c>
      <c r="B30" s="39" t="n">
        <v>45977</v>
      </c>
      <c r="C30" s="16" t="s">
        <v>432</v>
      </c>
      <c r="D30" s="5" t="s">
        <v>432</v>
      </c>
      <c r="E30" s="5" t="s">
        <v>432</v>
      </c>
      <c r="F30" s="6"/>
      <c r="G30" s="26" t="n">
        <v>3</v>
      </c>
      <c r="H30" s="5" t="s">
        <v>430</v>
      </c>
      <c r="I30" s="8" t="s">
        <v>173</v>
      </c>
      <c r="J30" s="5" t="s">
        <v>302</v>
      </c>
      <c r="K30" s="8" t="s">
        <v>15</v>
      </c>
      <c r="L30" s="8" t="s">
        <v>233</v>
      </c>
      <c r="M30" s="5" t="s">
        <v>383</v>
      </c>
      <c r="N30" s="5" t="s">
        <v>372</v>
      </c>
      <c r="O30" s="45" t="n">
        <v>2.5</v>
      </c>
      <c r="P30" s="26"/>
      <c r="Q30" s="5" t="s">
        <v>373</v>
      </c>
      <c r="R30" s="8" t="n">
        <f aca="false">IF($B30="","",ROUND(($Q$3-$B30)/30,1))</f>
        <v>-1532.6</v>
      </c>
      <c r="S30" s="8" t="str">
        <f aca="false">IF(OR($M30="",$R30=""),"",IF($M30="Jantan",IF($R30&lt;=3,"Cempe Lahir",IF($R30&lt;=6,"Cempe Sapih",IF($R30&lt;=12,"Bakalan","Jantan Siap Kawin"))),IF($M30="Betina",IF($R30&lt;=3,"Cempe Lahir",IF($R30&lt;=6,"Cempe Sapih",IF($R30&lt;=8,"Dara","Betina Siap Kawin"))),"")))</f>
        <v>Cempe Lahir</v>
      </c>
      <c r="T30" s="42" t="n">
        <v>1250000</v>
      </c>
      <c r="U30" s="6" t="s">
        <v>374</v>
      </c>
      <c r="V30" s="8" t="s">
        <v>91</v>
      </c>
      <c r="W30" s="26" t="s">
        <v>375</v>
      </c>
      <c r="X30" s="5"/>
      <c r="Y30" s="26" t="s">
        <v>381</v>
      </c>
      <c r="Z30" s="26"/>
      <c r="AA30" s="26"/>
    </row>
    <row r="31" customFormat="false" ht="15" hidden="false" customHeight="true" outlineLevel="0" collapsed="false">
      <c r="A31" s="26" t="n">
        <v>26</v>
      </c>
      <c r="B31" s="39" t="n">
        <v>45977</v>
      </c>
      <c r="C31" s="16" t="s">
        <v>433</v>
      </c>
      <c r="D31" s="5" t="s">
        <v>433</v>
      </c>
      <c r="E31" s="5" t="s">
        <v>433</v>
      </c>
      <c r="F31" s="6"/>
      <c r="G31" s="26" t="n">
        <v>3</v>
      </c>
      <c r="H31" s="5" t="s">
        <v>430</v>
      </c>
      <c r="I31" s="8" t="s">
        <v>173</v>
      </c>
      <c r="J31" s="5" t="s">
        <v>302</v>
      </c>
      <c r="K31" s="8" t="s">
        <v>15</v>
      </c>
      <c r="L31" s="8" t="s">
        <v>233</v>
      </c>
      <c r="M31" s="5" t="s">
        <v>383</v>
      </c>
      <c r="N31" s="5" t="s">
        <v>372</v>
      </c>
      <c r="O31" s="45" t="n">
        <v>2.75</v>
      </c>
      <c r="P31" s="26"/>
      <c r="Q31" s="5" t="s">
        <v>373</v>
      </c>
      <c r="R31" s="8" t="n">
        <f aca="false">IF($B31="","",ROUND(($Q$3-$B31)/30,1))</f>
        <v>-1532.6</v>
      </c>
      <c r="S31" s="8" t="str">
        <f aca="false">IF(OR($M31="",$R31=""),"",IF($M31="Jantan",IF($R31&lt;=3,"Cempe Lahir",IF($R31&lt;=6,"Cempe Sapih",IF($R31&lt;=12,"Bakalan","Jantan Siap Kawin"))),IF($M31="Betina",IF($R31&lt;=3,"Cempe Lahir",IF($R31&lt;=6,"Cempe Sapih",IF($R31&lt;=8,"Dara","Betina Siap Kawin"))),"")))</f>
        <v>Cempe Lahir</v>
      </c>
      <c r="T31" s="42" t="n">
        <v>1250000</v>
      </c>
      <c r="U31" s="6" t="s">
        <v>380</v>
      </c>
      <c r="V31" s="8" t="s">
        <v>91</v>
      </c>
      <c r="W31" s="26" t="s">
        <v>375</v>
      </c>
      <c r="X31" s="5"/>
      <c r="Y31" s="26" t="s">
        <v>381</v>
      </c>
      <c r="Z31" s="26"/>
      <c r="AA31" s="26"/>
    </row>
    <row r="32" customFormat="false" ht="15" hidden="false" customHeight="true" outlineLevel="0" collapsed="false">
      <c r="A32" s="26" t="n">
        <v>27</v>
      </c>
      <c r="B32" s="39" t="n">
        <v>45979</v>
      </c>
      <c r="C32" s="16" t="s">
        <v>434</v>
      </c>
      <c r="D32" s="5" t="s">
        <v>434</v>
      </c>
      <c r="E32" s="5" t="s">
        <v>434</v>
      </c>
      <c r="F32" s="6"/>
      <c r="G32" s="26" t="n">
        <v>1</v>
      </c>
      <c r="H32" s="5" t="s">
        <v>435</v>
      </c>
      <c r="I32" s="8" t="s">
        <v>244</v>
      </c>
      <c r="J32" s="5" t="s">
        <v>302</v>
      </c>
      <c r="K32" s="8" t="s">
        <v>15</v>
      </c>
      <c r="L32" s="8" t="s">
        <v>233</v>
      </c>
      <c r="M32" s="5" t="s">
        <v>234</v>
      </c>
      <c r="N32" s="5" t="s">
        <v>372</v>
      </c>
      <c r="O32" s="45" t="n">
        <v>3.9</v>
      </c>
      <c r="P32" s="26"/>
      <c r="Q32" s="5" t="s">
        <v>373</v>
      </c>
      <c r="R32" s="8" t="n">
        <f aca="false">IF($B32="","",ROUND(($Q$3-$B32)/30,1))</f>
        <v>-1532.6</v>
      </c>
      <c r="S32" s="8" t="str">
        <f aca="false">IF(OR($M32="",$R32=""),"",IF($M32="Jantan",IF($R32&lt;=3,"Cempe Lahir",IF($R32&lt;=6,"Cempe Sapih",IF($R32&lt;=12,"Bakalan","Jantan Siap Kawin"))),IF($M32="Betina",IF($R32&lt;=3,"Cempe Lahir",IF($R32&lt;=6,"Cempe Sapih",IF($R32&lt;=8,"Dara","Betina Siap Kawin"))),"")))</f>
        <v>Cempe Lahir</v>
      </c>
      <c r="T32" s="42" t="n">
        <v>1250000</v>
      </c>
      <c r="U32" s="6" t="s">
        <v>384</v>
      </c>
      <c r="V32" s="8" t="s">
        <v>87</v>
      </c>
      <c r="W32" s="26" t="s">
        <v>375</v>
      </c>
      <c r="X32" s="5"/>
      <c r="Y32" s="6" t="s">
        <v>376</v>
      </c>
      <c r="Z32" s="26" t="s">
        <v>436</v>
      </c>
      <c r="AA32" s="26" t="s">
        <v>436</v>
      </c>
    </row>
    <row r="33" customFormat="false" ht="15" hidden="false" customHeight="true" outlineLevel="0" collapsed="false">
      <c r="A33" s="26" t="n">
        <v>28</v>
      </c>
      <c r="B33" s="39" t="n">
        <v>45979</v>
      </c>
      <c r="C33" s="16" t="s">
        <v>437</v>
      </c>
      <c r="D33" s="5" t="s">
        <v>437</v>
      </c>
      <c r="E33" s="5" t="s">
        <v>437</v>
      </c>
      <c r="F33" s="6"/>
      <c r="G33" s="26" t="n">
        <v>1</v>
      </c>
      <c r="H33" s="5" t="s">
        <v>321</v>
      </c>
      <c r="I33" s="8" t="s">
        <v>321</v>
      </c>
      <c r="J33" s="5" t="s">
        <v>302</v>
      </c>
      <c r="K33" s="8" t="s">
        <v>15</v>
      </c>
      <c r="L33" s="8" t="s">
        <v>233</v>
      </c>
      <c r="M33" s="5" t="s">
        <v>234</v>
      </c>
      <c r="N33" s="5" t="s">
        <v>372</v>
      </c>
      <c r="O33" s="45" t="n">
        <v>4.5</v>
      </c>
      <c r="P33" s="26"/>
      <c r="Q33" s="5" t="s">
        <v>373</v>
      </c>
      <c r="R33" s="8" t="n">
        <f aca="false">IF($B33="","",ROUND(($Q$3-$B33)/30,1))</f>
        <v>-1532.6</v>
      </c>
      <c r="S33" s="8" t="str">
        <f aca="false">IF(OR($M33="",$R33=""),"",IF($M33="Jantan",IF($R33&lt;=3,"Cempe Lahir",IF($R33&lt;=6,"Cempe Sapih",IF($R33&lt;=12,"Bakalan","Jantan Siap Kawin"))),IF($M33="Betina",IF($R33&lt;=3,"Cempe Lahir",IF($R33&lt;=6,"Cempe Sapih",IF($R33&lt;=8,"Dara","Betina Siap Kawin"))),"")))</f>
        <v>Cempe Lahir</v>
      </c>
      <c r="T33" s="42" t="n">
        <v>1250000</v>
      </c>
      <c r="U33" s="6" t="s">
        <v>386</v>
      </c>
      <c r="V33" s="9" t="s">
        <v>92</v>
      </c>
      <c r="W33" s="26" t="s">
        <v>375</v>
      </c>
      <c r="X33" s="6"/>
      <c r="Y33" s="6" t="s">
        <v>376</v>
      </c>
      <c r="Z33" s="26" t="s">
        <v>438</v>
      </c>
      <c r="AA33" s="26" t="s">
        <v>438</v>
      </c>
    </row>
    <row r="34" customFormat="false" ht="15" hidden="false" customHeight="true" outlineLevel="0" collapsed="false">
      <c r="A34" s="26" t="n">
        <v>29</v>
      </c>
      <c r="B34" s="39" t="n">
        <v>45983</v>
      </c>
      <c r="C34" s="16" t="s">
        <v>439</v>
      </c>
      <c r="D34" s="5" t="s">
        <v>439</v>
      </c>
      <c r="E34" s="5" t="s">
        <v>439</v>
      </c>
      <c r="F34" s="6"/>
      <c r="G34" s="26" t="n">
        <v>2</v>
      </c>
      <c r="H34" s="5" t="s">
        <v>412</v>
      </c>
      <c r="I34" s="8" t="s">
        <v>170</v>
      </c>
      <c r="J34" s="5" t="s">
        <v>15</v>
      </c>
      <c r="K34" s="8" t="s">
        <v>16</v>
      </c>
      <c r="L34" s="8" t="s">
        <v>252</v>
      </c>
      <c r="M34" s="5" t="s">
        <v>234</v>
      </c>
      <c r="N34" s="5" t="s">
        <v>372</v>
      </c>
      <c r="O34" s="45" t="n">
        <v>1.75</v>
      </c>
      <c r="P34" s="26"/>
      <c r="Q34" s="5" t="s">
        <v>440</v>
      </c>
      <c r="R34" s="8" t="n">
        <f aca="false">IF($B34="","",ROUND(($Q$3-$B34)/30,1))</f>
        <v>-1532.8</v>
      </c>
      <c r="S34" s="8" t="str">
        <f aca="false">IF(OR($M34="",$R34=""),"",IF($M34="Jantan",IF($R34&lt;=3,"Cempe Lahir",IF($R34&lt;=6,"Cempe Sapih",IF($R34&lt;=12,"Bakalan","Jantan Siap Kawin"))),IF($M34="Betina",IF($R34&lt;=3,"Cempe Lahir",IF($R34&lt;=6,"Cempe Sapih",IF($R34&lt;=8,"Dara","Betina Siap Kawin"))),"")))</f>
        <v>Cempe Lahir</v>
      </c>
      <c r="T34" s="42" t="n">
        <v>1250000</v>
      </c>
      <c r="U34" s="6" t="s">
        <v>374</v>
      </c>
      <c r="V34" s="8" t="s">
        <v>91</v>
      </c>
      <c r="W34" s="26" t="s">
        <v>393</v>
      </c>
      <c r="X34" s="5"/>
      <c r="Y34" s="26" t="s">
        <v>381</v>
      </c>
      <c r="Z34" s="26" t="s">
        <v>441</v>
      </c>
      <c r="AA34" s="26" t="s">
        <v>441</v>
      </c>
    </row>
    <row r="35" customFormat="false" ht="15" hidden="false" customHeight="true" outlineLevel="0" collapsed="false">
      <c r="A35" s="26" t="n">
        <v>30</v>
      </c>
      <c r="B35" s="39" t="n">
        <v>45983</v>
      </c>
      <c r="C35" s="16" t="s">
        <v>442</v>
      </c>
      <c r="D35" s="5" t="s">
        <v>442</v>
      </c>
      <c r="E35" s="5" t="s">
        <v>442</v>
      </c>
      <c r="F35" s="6"/>
      <c r="G35" s="26" t="n">
        <v>2</v>
      </c>
      <c r="H35" s="5" t="s">
        <v>412</v>
      </c>
      <c r="I35" s="8" t="s">
        <v>170</v>
      </c>
      <c r="J35" s="5" t="s">
        <v>15</v>
      </c>
      <c r="K35" s="8" t="s">
        <v>16</v>
      </c>
      <c r="L35" s="8" t="s">
        <v>252</v>
      </c>
      <c r="M35" s="5" t="s">
        <v>234</v>
      </c>
      <c r="N35" s="5" t="s">
        <v>372</v>
      </c>
      <c r="O35" s="45" t="n">
        <v>2.85</v>
      </c>
      <c r="P35" s="26"/>
      <c r="Q35" s="5" t="s">
        <v>440</v>
      </c>
      <c r="R35" s="8" t="n">
        <f aca="false">IF($B35="","",ROUND(($Q$3-$B35)/30,1))</f>
        <v>-1532.8</v>
      </c>
      <c r="S35" s="8" t="str">
        <f aca="false">IF(OR($M35="",$R35=""),"",IF($M35="Jantan",IF($R35&lt;=3,"Cempe Lahir",IF($R35&lt;=6,"Cempe Sapih",IF($R35&lt;=12,"Bakalan","Jantan Siap Kawin"))),IF($M35="Betina",IF($R35&lt;=3,"Cempe Lahir",IF($R35&lt;=6,"Cempe Sapih",IF($R35&lt;=8,"Dara","Betina Siap Kawin"))),"")))</f>
        <v>Cempe Lahir</v>
      </c>
      <c r="T35" s="42" t="n">
        <v>1250000</v>
      </c>
      <c r="U35" s="6" t="s">
        <v>380</v>
      </c>
      <c r="V35" s="8" t="s">
        <v>91</v>
      </c>
      <c r="W35" s="26" t="s">
        <v>393</v>
      </c>
      <c r="X35" s="5"/>
      <c r="Y35" s="26" t="s">
        <v>381</v>
      </c>
      <c r="Z35" s="26" t="s">
        <v>443</v>
      </c>
      <c r="AA35" s="26" t="s">
        <v>443</v>
      </c>
    </row>
    <row r="36" customFormat="false" ht="15" hidden="false" customHeight="true" outlineLevel="0" collapsed="false">
      <c r="A36" s="26" t="n">
        <v>31</v>
      </c>
      <c r="B36" s="39" t="n">
        <v>45984</v>
      </c>
      <c r="C36" s="16" t="s">
        <v>444</v>
      </c>
      <c r="D36" s="5" t="s">
        <v>444</v>
      </c>
      <c r="E36" s="5" t="s">
        <v>444</v>
      </c>
      <c r="F36" s="6"/>
      <c r="G36" s="26" t="n">
        <v>3</v>
      </c>
      <c r="H36" s="5" t="s">
        <v>445</v>
      </c>
      <c r="I36" s="8" t="s">
        <v>177</v>
      </c>
      <c r="J36" s="5" t="s">
        <v>15</v>
      </c>
      <c r="K36" s="8" t="s">
        <v>16</v>
      </c>
      <c r="L36" s="8" t="s">
        <v>252</v>
      </c>
      <c r="M36" s="5" t="s">
        <v>234</v>
      </c>
      <c r="N36" s="5" t="s">
        <v>372</v>
      </c>
      <c r="O36" s="45" t="n">
        <v>1.8</v>
      </c>
      <c r="P36" s="26"/>
      <c r="Q36" s="5" t="s">
        <v>9</v>
      </c>
      <c r="R36" s="8" t="n">
        <f aca="false">IF($B36="","",ROUND(($Q$3-$B36)/30,1))</f>
        <v>-1532.8</v>
      </c>
      <c r="S36" s="8" t="str">
        <f aca="false">IF(OR($M36="",$R36=""),"",IF($M36="Jantan",IF($R36&lt;=3,"Cempe Lahir",IF($R36&lt;=6,"Cempe Sapih",IF($R36&lt;=12,"Bakalan","Jantan Siap Kawin"))),IF($M36="Betina",IF($R36&lt;=3,"Cempe Lahir",IF($R36&lt;=6,"Cempe Sapih",IF($R36&lt;=8,"Dara","Betina Siap Kawin"))),"")))</f>
        <v>Cempe Lahir</v>
      </c>
      <c r="T36" s="42" t="n">
        <v>1250000</v>
      </c>
      <c r="U36" s="6" t="s">
        <v>384</v>
      </c>
      <c r="V36" s="8" t="s">
        <v>87</v>
      </c>
      <c r="W36" s="26" t="s">
        <v>393</v>
      </c>
      <c r="X36" s="5"/>
      <c r="Y36" s="26" t="s">
        <v>381</v>
      </c>
      <c r="Z36" s="26" t="s">
        <v>446</v>
      </c>
      <c r="AA36" s="26" t="s">
        <v>446</v>
      </c>
    </row>
    <row r="37" customFormat="false" ht="15" hidden="false" customHeight="true" outlineLevel="0" collapsed="false">
      <c r="A37" s="26" t="n">
        <v>32</v>
      </c>
      <c r="B37" s="39" t="n">
        <v>45984</v>
      </c>
      <c r="C37" s="16" t="s">
        <v>447</v>
      </c>
      <c r="D37" s="5" t="s">
        <v>447</v>
      </c>
      <c r="E37" s="5" t="s">
        <v>447</v>
      </c>
      <c r="F37" s="6"/>
      <c r="G37" s="26" t="n">
        <v>3</v>
      </c>
      <c r="H37" s="5" t="s">
        <v>445</v>
      </c>
      <c r="I37" s="8" t="s">
        <v>177</v>
      </c>
      <c r="J37" s="5" t="s">
        <v>15</v>
      </c>
      <c r="K37" s="8" t="s">
        <v>16</v>
      </c>
      <c r="L37" s="8" t="s">
        <v>252</v>
      </c>
      <c r="M37" s="5" t="s">
        <v>234</v>
      </c>
      <c r="N37" s="5" t="s">
        <v>372</v>
      </c>
      <c r="O37" s="45" t="n">
        <v>2.45</v>
      </c>
      <c r="P37" s="26"/>
      <c r="Q37" s="5" t="s">
        <v>9</v>
      </c>
      <c r="R37" s="8" t="n">
        <f aca="false">IF($B37="","",ROUND(($Q$3-$B37)/30,1))</f>
        <v>-1532.8</v>
      </c>
      <c r="S37" s="8" t="str">
        <f aca="false">IF(OR($M37="",$R37=""),"",IF($M37="Jantan",IF($R37&lt;=3,"Cempe Lahir",IF($R37&lt;=6,"Cempe Sapih",IF($R37&lt;=12,"Bakalan","Jantan Siap Kawin"))),IF($M37="Betina",IF($R37&lt;=3,"Cempe Lahir",IF($R37&lt;=6,"Cempe Sapih",IF($R37&lt;=8,"Dara","Betina Siap Kawin"))),"")))</f>
        <v>Cempe Lahir</v>
      </c>
      <c r="T37" s="42" t="n">
        <v>1250000</v>
      </c>
      <c r="U37" s="6" t="s">
        <v>386</v>
      </c>
      <c r="V37" s="8" t="s">
        <v>87</v>
      </c>
      <c r="W37" s="26" t="s">
        <v>393</v>
      </c>
      <c r="X37" s="5"/>
      <c r="Y37" s="26" t="s">
        <v>381</v>
      </c>
      <c r="Z37" s="26" t="s">
        <v>448</v>
      </c>
      <c r="AA37" s="26" t="s">
        <v>448</v>
      </c>
    </row>
    <row r="38" customFormat="false" ht="15" hidden="false" customHeight="true" outlineLevel="0" collapsed="false">
      <c r="A38" s="26" t="n">
        <v>33</v>
      </c>
      <c r="B38" s="39" t="n">
        <v>45984</v>
      </c>
      <c r="C38" s="16" t="s">
        <v>449</v>
      </c>
      <c r="D38" s="5" t="s">
        <v>449</v>
      </c>
      <c r="E38" s="5" t="s">
        <v>449</v>
      </c>
      <c r="F38" s="6"/>
      <c r="G38" s="26" t="n">
        <v>3</v>
      </c>
      <c r="H38" s="5" t="s">
        <v>445</v>
      </c>
      <c r="I38" s="8" t="s">
        <v>177</v>
      </c>
      <c r="J38" s="5" t="s">
        <v>15</v>
      </c>
      <c r="K38" s="8" t="s">
        <v>16</v>
      </c>
      <c r="L38" s="8" t="s">
        <v>252</v>
      </c>
      <c r="M38" s="5" t="s">
        <v>383</v>
      </c>
      <c r="N38" s="5" t="s">
        <v>372</v>
      </c>
      <c r="O38" s="45" t="n">
        <v>2.65</v>
      </c>
      <c r="P38" s="26"/>
      <c r="Q38" s="5" t="s">
        <v>9</v>
      </c>
      <c r="R38" s="8" t="n">
        <f aca="false">IF($B38="","",ROUND(($Q$3-$B38)/30,1))</f>
        <v>-1532.8</v>
      </c>
      <c r="S38" s="8" t="str">
        <f aca="false">IF(OR($M38="",$R38=""),"",IF($M38="Jantan",IF($R38&lt;=3,"Cempe Lahir",IF($R38&lt;=6,"Cempe Sapih",IF($R38&lt;=12,"Bakalan","Jantan Siap Kawin"))),IF($M38="Betina",IF($R38&lt;=3,"Cempe Lahir",IF($R38&lt;=6,"Cempe Sapih",IF($R38&lt;=8,"Dara","Betina Siap Kawin"))),"")))</f>
        <v>Cempe Lahir</v>
      </c>
      <c r="T38" s="42" t="n">
        <v>1250000</v>
      </c>
      <c r="U38" s="6" t="s">
        <v>374</v>
      </c>
      <c r="V38" s="8" t="s">
        <v>87</v>
      </c>
      <c r="W38" s="26" t="s">
        <v>393</v>
      </c>
      <c r="X38" s="5"/>
      <c r="Y38" s="26" t="s">
        <v>381</v>
      </c>
      <c r="Z38" s="26" t="s">
        <v>448</v>
      </c>
      <c r="AA38" s="26" t="s">
        <v>448</v>
      </c>
    </row>
    <row r="39" customFormat="false" ht="15" hidden="false" customHeight="true" outlineLevel="0" collapsed="false">
      <c r="A39" s="26" t="n">
        <v>34</v>
      </c>
      <c r="B39" s="39" t="n">
        <v>45985</v>
      </c>
      <c r="C39" s="16" t="s">
        <v>450</v>
      </c>
      <c r="D39" s="5" t="s">
        <v>450</v>
      </c>
      <c r="E39" s="5" t="s">
        <v>450</v>
      </c>
      <c r="F39" s="6"/>
      <c r="G39" s="26" t="n">
        <v>1</v>
      </c>
      <c r="H39" s="5" t="s">
        <v>435</v>
      </c>
      <c r="I39" s="8" t="s">
        <v>244</v>
      </c>
      <c r="J39" s="5" t="s">
        <v>15</v>
      </c>
      <c r="K39" s="8" t="s">
        <v>16</v>
      </c>
      <c r="L39" s="8" t="s">
        <v>252</v>
      </c>
      <c r="M39" s="5" t="s">
        <v>383</v>
      </c>
      <c r="N39" s="5" t="s">
        <v>372</v>
      </c>
      <c r="O39" s="45" t="n">
        <v>3.95</v>
      </c>
      <c r="P39" s="26"/>
      <c r="Q39" s="5" t="s">
        <v>9</v>
      </c>
      <c r="R39" s="8" t="n">
        <f aca="false">IF($B39="","",ROUND(($Q$3-$B39)/30,1))</f>
        <v>-1532.8</v>
      </c>
      <c r="S39" s="8" t="str">
        <f aca="false">IF(OR($M39="",$R39=""),"",IF($M39="Jantan",IF($R39&lt;=3,"Cempe Lahir",IF($R39&lt;=6,"Cempe Sapih",IF($R39&lt;=12,"Bakalan","Jantan Siap Kawin"))),IF($M39="Betina",IF($R39&lt;=3,"Cempe Lahir",IF($R39&lt;=6,"Cempe Sapih",IF($R39&lt;=8,"Dara","Betina Siap Kawin"))),"")))</f>
        <v>Cempe Lahir</v>
      </c>
      <c r="T39" s="42" t="n">
        <v>1250000</v>
      </c>
      <c r="U39" s="6" t="s">
        <v>380</v>
      </c>
      <c r="V39" s="8" t="s">
        <v>87</v>
      </c>
      <c r="W39" s="26" t="s">
        <v>393</v>
      </c>
      <c r="X39" s="5"/>
      <c r="Y39" s="6" t="s">
        <v>376</v>
      </c>
      <c r="Z39" s="26" t="s">
        <v>451</v>
      </c>
      <c r="AA39" s="26" t="s">
        <v>451</v>
      </c>
    </row>
    <row r="40" customFormat="false" ht="15" hidden="false" customHeight="true" outlineLevel="0" collapsed="false">
      <c r="A40" s="26" t="n">
        <v>35</v>
      </c>
      <c r="B40" s="39" t="n">
        <v>45986</v>
      </c>
      <c r="C40" s="16" t="s">
        <v>452</v>
      </c>
      <c r="D40" s="5" t="s">
        <v>452</v>
      </c>
      <c r="E40" s="5" t="s">
        <v>452</v>
      </c>
      <c r="F40" s="6"/>
      <c r="G40" s="26" t="n">
        <v>3</v>
      </c>
      <c r="H40" s="5" t="s">
        <v>179</v>
      </c>
      <c r="I40" s="8" t="s">
        <v>179</v>
      </c>
      <c r="J40" s="5" t="s">
        <v>15</v>
      </c>
      <c r="K40" s="8" t="s">
        <v>16</v>
      </c>
      <c r="L40" s="8" t="s">
        <v>252</v>
      </c>
      <c r="M40" s="6" t="s">
        <v>234</v>
      </c>
      <c r="N40" s="5" t="s">
        <v>372</v>
      </c>
      <c r="O40" s="45" t="n">
        <v>2.9</v>
      </c>
      <c r="P40" s="26"/>
      <c r="Q40" s="5" t="s">
        <v>3</v>
      </c>
      <c r="R40" s="8" t="n">
        <f aca="false">IF($B40="","",ROUND(($Q$3-$B40)/30,1))</f>
        <v>-1532.9</v>
      </c>
      <c r="S40" s="8" t="str">
        <f aca="false">IF(OR($M40="",$R40=""),"",IF($M40="Jantan",IF($R40&lt;=3,"Cempe Lahir",IF($R40&lt;=6,"Cempe Sapih",IF($R40&lt;=12,"Bakalan","Jantan Siap Kawin"))),IF($M40="Betina",IF($R40&lt;=3,"Cempe Lahir",IF($R40&lt;=6,"Cempe Sapih",IF($R40&lt;=8,"Dara","Betina Siap Kawin"))),"")))</f>
        <v>Cempe Lahir</v>
      </c>
      <c r="T40" s="42" t="n">
        <v>1250000</v>
      </c>
      <c r="U40" s="6" t="s">
        <v>384</v>
      </c>
      <c r="V40" s="9" t="s">
        <v>92</v>
      </c>
      <c r="W40" s="26" t="s">
        <v>375</v>
      </c>
      <c r="X40" s="6"/>
      <c r="Y40" s="6" t="s">
        <v>376</v>
      </c>
      <c r="Z40" s="7" t="s">
        <v>453</v>
      </c>
      <c r="AA40" s="26" t="s">
        <v>454</v>
      </c>
    </row>
    <row r="41" customFormat="false" ht="15" hidden="false" customHeight="true" outlineLevel="0" collapsed="false">
      <c r="A41" s="26" t="n">
        <v>36</v>
      </c>
      <c r="B41" s="39" t="n">
        <v>45986</v>
      </c>
      <c r="C41" s="16" t="s">
        <v>455</v>
      </c>
      <c r="D41" s="5" t="s">
        <v>455</v>
      </c>
      <c r="E41" s="5" t="s">
        <v>455</v>
      </c>
      <c r="F41" s="6"/>
      <c r="G41" s="26" t="n">
        <v>3</v>
      </c>
      <c r="H41" s="5" t="s">
        <v>179</v>
      </c>
      <c r="I41" s="8" t="s">
        <v>179</v>
      </c>
      <c r="J41" s="5" t="s">
        <v>15</v>
      </c>
      <c r="K41" s="8" t="s">
        <v>16</v>
      </c>
      <c r="L41" s="8" t="s">
        <v>252</v>
      </c>
      <c r="M41" s="6" t="s">
        <v>234</v>
      </c>
      <c r="N41" s="5" t="s">
        <v>372</v>
      </c>
      <c r="O41" s="45" t="n">
        <v>3.05</v>
      </c>
      <c r="P41" s="26"/>
      <c r="Q41" s="5" t="s">
        <v>3</v>
      </c>
      <c r="R41" s="8" t="n">
        <f aca="false">IF($B41="","",ROUND(($Q$3-$B41)/30,1))</f>
        <v>-1532.9</v>
      </c>
      <c r="S41" s="8" t="str">
        <f aca="false">IF(OR($M41="",$R41=""),"",IF($M41="Jantan",IF($R41&lt;=3,"Cempe Lahir",IF($R41&lt;=6,"Cempe Sapih",IF($R41&lt;=12,"Bakalan","Jantan Siap Kawin"))),IF($M41="Betina",IF($R41&lt;=3,"Cempe Lahir",IF($R41&lt;=6,"Cempe Sapih",IF($R41&lt;=8,"Dara","Betina Siap Kawin"))),"")))</f>
        <v>Cempe Lahir</v>
      </c>
      <c r="T41" s="42" t="n">
        <v>1250000</v>
      </c>
      <c r="U41" s="6" t="s">
        <v>386</v>
      </c>
      <c r="V41" s="9" t="s">
        <v>92</v>
      </c>
      <c r="W41" s="26" t="s">
        <v>375</v>
      </c>
      <c r="X41" s="6"/>
      <c r="Y41" s="6" t="s">
        <v>376</v>
      </c>
      <c r="Z41" s="7" t="s">
        <v>453</v>
      </c>
      <c r="AA41" s="26" t="s">
        <v>456</v>
      </c>
    </row>
    <row r="42" customFormat="false" ht="15" hidden="false" customHeight="true" outlineLevel="0" collapsed="false">
      <c r="A42" s="26" t="n">
        <v>37</v>
      </c>
      <c r="B42" s="39" t="n">
        <v>45986</v>
      </c>
      <c r="C42" s="16" t="s">
        <v>457</v>
      </c>
      <c r="D42" s="5" t="s">
        <v>457</v>
      </c>
      <c r="E42" s="5" t="s">
        <v>457</v>
      </c>
      <c r="F42" s="6"/>
      <c r="G42" s="26" t="n">
        <v>3</v>
      </c>
      <c r="H42" s="5" t="s">
        <v>179</v>
      </c>
      <c r="I42" s="8" t="s">
        <v>179</v>
      </c>
      <c r="J42" s="5" t="s">
        <v>15</v>
      </c>
      <c r="K42" s="8" t="s">
        <v>16</v>
      </c>
      <c r="L42" s="8" t="s">
        <v>252</v>
      </c>
      <c r="M42" s="6" t="s">
        <v>234</v>
      </c>
      <c r="N42" s="5" t="s">
        <v>372</v>
      </c>
      <c r="O42" s="45" t="n">
        <v>2.95</v>
      </c>
      <c r="P42" s="26"/>
      <c r="Q42" s="5" t="s">
        <v>3</v>
      </c>
      <c r="R42" s="8" t="n">
        <f aca="false">IF($B42="","",ROUND(($Q$3-$B42)/30,1))</f>
        <v>-1532.9</v>
      </c>
      <c r="S42" s="8" t="str">
        <f aca="false">IF(OR($M42="",$R42=""),"",IF($M42="Jantan",IF($R42&lt;=3,"Cempe Lahir",IF($R42&lt;=6,"Cempe Sapih",IF($R42&lt;=12,"Bakalan","Jantan Siap Kawin"))),IF($M42="Betina",IF($R42&lt;=3,"Cempe Lahir",IF($R42&lt;=6,"Cempe Sapih",IF($R42&lt;=8,"Dara","Betina Siap Kawin"))),"")))</f>
        <v>Cempe Lahir</v>
      </c>
      <c r="T42" s="42" t="n">
        <v>1250000</v>
      </c>
      <c r="U42" s="6" t="s">
        <v>374</v>
      </c>
      <c r="V42" s="9" t="s">
        <v>92</v>
      </c>
      <c r="W42" s="26" t="s">
        <v>375</v>
      </c>
      <c r="X42" s="6"/>
      <c r="Y42" s="6" t="s">
        <v>376</v>
      </c>
      <c r="Z42" s="7" t="s">
        <v>453</v>
      </c>
      <c r="AA42" s="26" t="s">
        <v>456</v>
      </c>
    </row>
    <row r="43" customFormat="false" ht="15" hidden="false" customHeight="true" outlineLevel="0" collapsed="false">
      <c r="A43" s="26" t="n">
        <v>38</v>
      </c>
      <c r="B43" s="39" t="n">
        <v>45988</v>
      </c>
      <c r="C43" s="16" t="s">
        <v>458</v>
      </c>
      <c r="D43" s="5" t="s">
        <v>458</v>
      </c>
      <c r="E43" s="5" t="s">
        <v>458</v>
      </c>
      <c r="F43" s="6"/>
      <c r="G43" s="26" t="n">
        <v>1</v>
      </c>
      <c r="H43" s="5" t="s">
        <v>430</v>
      </c>
      <c r="I43" s="8" t="s">
        <v>173</v>
      </c>
      <c r="J43" s="5" t="s">
        <v>15</v>
      </c>
      <c r="K43" s="8" t="s">
        <v>16</v>
      </c>
      <c r="L43" s="8" t="s">
        <v>252</v>
      </c>
      <c r="M43" s="5" t="s">
        <v>383</v>
      </c>
      <c r="N43" s="5" t="s">
        <v>372</v>
      </c>
      <c r="O43" s="45" t="n">
        <v>5.75</v>
      </c>
      <c r="P43" s="26"/>
      <c r="Q43" s="5" t="s">
        <v>440</v>
      </c>
      <c r="R43" s="8" t="n">
        <f aca="false">IF($B43="","",ROUND(($Q$3-$B43)/30,1))</f>
        <v>-1532.9</v>
      </c>
      <c r="S43" s="8" t="str">
        <f aca="false">IF(OR($M43="",$R43=""),"",IF($M43="Jantan",IF($R43&lt;=3,"Cempe Lahir",IF($R43&lt;=6,"Cempe Sapih",IF($R43&lt;=12,"Bakalan","Jantan Siap Kawin"))),IF($M43="Betina",IF($R43&lt;=3,"Cempe Lahir",IF($R43&lt;=6,"Cempe Sapih",IF($R43&lt;=8,"Dara","Betina Siap Kawin"))),"")))</f>
        <v>Cempe Lahir</v>
      </c>
      <c r="T43" s="42" t="n">
        <v>1250000</v>
      </c>
      <c r="U43" s="6" t="s">
        <v>380</v>
      </c>
      <c r="V43" s="8" t="s">
        <v>91</v>
      </c>
      <c r="W43" s="26" t="s">
        <v>393</v>
      </c>
      <c r="X43" s="5"/>
      <c r="Y43" s="7" t="s">
        <v>426</v>
      </c>
      <c r="Z43" s="26" t="s">
        <v>459</v>
      </c>
      <c r="AA43" s="26" t="s">
        <v>459</v>
      </c>
    </row>
    <row r="44" customFormat="false" ht="15" hidden="false" customHeight="true" outlineLevel="0" collapsed="false">
      <c r="A44" s="26" t="n">
        <v>39</v>
      </c>
      <c r="B44" s="39" t="n">
        <v>45989</v>
      </c>
      <c r="C44" s="16" t="s">
        <v>460</v>
      </c>
      <c r="D44" s="5" t="s">
        <v>460</v>
      </c>
      <c r="E44" s="5" t="s">
        <v>460</v>
      </c>
      <c r="F44" s="6"/>
      <c r="G44" s="26" t="n">
        <v>1</v>
      </c>
      <c r="H44" s="5" t="s">
        <v>305</v>
      </c>
      <c r="I44" s="8" t="s">
        <v>305</v>
      </c>
      <c r="J44" s="5" t="s">
        <v>306</v>
      </c>
      <c r="K44" s="8" t="s">
        <v>15</v>
      </c>
      <c r="L44" s="8" t="s">
        <v>233</v>
      </c>
      <c r="M44" s="5" t="s">
        <v>383</v>
      </c>
      <c r="N44" s="5" t="s">
        <v>372</v>
      </c>
      <c r="O44" s="45" t="n">
        <v>5.8</v>
      </c>
      <c r="P44" s="26"/>
      <c r="Q44" s="5" t="s">
        <v>373</v>
      </c>
      <c r="R44" s="8" t="n">
        <f aca="false">IF($B44="","",ROUND(($Q$3-$B44)/30,1))</f>
        <v>-1533</v>
      </c>
      <c r="S44" s="8" t="str">
        <f aca="false">IF(OR($M44="",$R44=""),"",IF($M44="Jantan",IF($R44&lt;=3,"Cempe Lahir",IF($R44&lt;=6,"Cempe Sapih",IF($R44&lt;=12,"Bakalan","Jantan Siap Kawin"))),IF($M44="Betina",IF($R44&lt;=3,"Cempe Lahir",IF($R44&lt;=6,"Cempe Sapih",IF($R44&lt;=8,"Dara","Betina Siap Kawin"))),"")))</f>
        <v>Cempe Lahir</v>
      </c>
      <c r="T44" s="42" t="n">
        <v>1250000</v>
      </c>
      <c r="U44" s="6" t="s">
        <v>384</v>
      </c>
      <c r="V44" s="9" t="s">
        <v>92</v>
      </c>
      <c r="W44" s="26" t="s">
        <v>375</v>
      </c>
      <c r="X44" s="6"/>
      <c r="Y44" s="7" t="s">
        <v>426</v>
      </c>
      <c r="Z44" s="26" t="s">
        <v>461</v>
      </c>
      <c r="AA44" s="26" t="s">
        <v>461</v>
      </c>
    </row>
    <row r="45" customFormat="false" ht="15" hidden="false" customHeight="true" outlineLevel="0" collapsed="false">
      <c r="A45" s="26" t="n">
        <v>40</v>
      </c>
      <c r="B45" s="39" t="n">
        <v>45992</v>
      </c>
      <c r="C45" s="16" t="s">
        <v>462</v>
      </c>
      <c r="D45" s="5" t="s">
        <v>462</v>
      </c>
      <c r="E45" s="5" t="s">
        <v>462</v>
      </c>
      <c r="F45" s="6"/>
      <c r="G45" s="26" t="n">
        <v>3</v>
      </c>
      <c r="H45" s="5" t="s">
        <v>463</v>
      </c>
      <c r="I45" s="8" t="s">
        <v>178</v>
      </c>
      <c r="J45" s="5" t="s">
        <v>15</v>
      </c>
      <c r="K45" s="8" t="s">
        <v>16</v>
      </c>
      <c r="L45" s="8" t="s">
        <v>252</v>
      </c>
      <c r="M45" s="6" t="s">
        <v>234</v>
      </c>
      <c r="N45" s="5" t="s">
        <v>372</v>
      </c>
      <c r="O45" s="45" t="n">
        <v>2.55</v>
      </c>
      <c r="P45" s="26"/>
      <c r="Q45" s="5" t="s">
        <v>440</v>
      </c>
      <c r="R45" s="8" t="n">
        <f aca="false">IF($B45="","",ROUND(($Q$3-$B45)/30,1))</f>
        <v>-1533.1</v>
      </c>
      <c r="S45" s="8" t="str">
        <f aca="false">IF(OR($M45="",$R45=""),"",IF($M45="Jantan",IF($R45&lt;=3,"Cempe Lahir",IF($R45&lt;=6,"Cempe Sapih",IF($R45&lt;=12,"Bakalan","Jantan Siap Kawin"))),IF($M45="Betina",IF($R45&lt;=3,"Cempe Lahir",IF($R45&lt;=6,"Cempe Sapih",IF($R45&lt;=8,"Dara","Betina Siap Kawin"))),"")))</f>
        <v>Cempe Lahir</v>
      </c>
      <c r="T45" s="42" t="n">
        <v>1250000</v>
      </c>
      <c r="U45" s="6" t="s">
        <v>386</v>
      </c>
      <c r="V45" s="8" t="s">
        <v>91</v>
      </c>
      <c r="W45" s="26" t="s">
        <v>393</v>
      </c>
      <c r="X45" s="5"/>
      <c r="Y45" s="6" t="s">
        <v>376</v>
      </c>
      <c r="Z45" s="7" t="s">
        <v>453</v>
      </c>
      <c r="AA45" s="26" t="s">
        <v>464</v>
      </c>
    </row>
    <row r="46" customFormat="false" ht="15" hidden="false" customHeight="true" outlineLevel="0" collapsed="false">
      <c r="A46" s="26" t="n">
        <v>41</v>
      </c>
      <c r="B46" s="39" t="n">
        <v>45992</v>
      </c>
      <c r="C46" s="16" t="s">
        <v>465</v>
      </c>
      <c r="D46" s="5" t="s">
        <v>465</v>
      </c>
      <c r="E46" s="5" t="s">
        <v>465</v>
      </c>
      <c r="F46" s="6"/>
      <c r="G46" s="26" t="n">
        <v>3</v>
      </c>
      <c r="H46" s="5" t="s">
        <v>463</v>
      </c>
      <c r="I46" s="8" t="s">
        <v>178</v>
      </c>
      <c r="J46" s="5" t="s">
        <v>15</v>
      </c>
      <c r="K46" s="8" t="s">
        <v>16</v>
      </c>
      <c r="L46" s="8" t="s">
        <v>252</v>
      </c>
      <c r="M46" s="6" t="s">
        <v>234</v>
      </c>
      <c r="N46" s="5" t="s">
        <v>372</v>
      </c>
      <c r="O46" s="45" t="n">
        <v>2.75</v>
      </c>
      <c r="P46" s="26"/>
      <c r="Q46" s="5" t="s">
        <v>440</v>
      </c>
      <c r="R46" s="8" t="n">
        <f aca="false">IF($B46="","",ROUND(($Q$3-$B46)/30,1))</f>
        <v>-1533.1</v>
      </c>
      <c r="S46" s="8" t="str">
        <f aca="false">IF(OR($M46="",$R46=""),"",IF($M46="Jantan",IF($R46&lt;=3,"Cempe Lahir",IF($R46&lt;=6,"Cempe Sapih",IF($R46&lt;=12,"Bakalan","Jantan Siap Kawin"))),IF($M46="Betina",IF($R46&lt;=3,"Cempe Lahir",IF($R46&lt;=6,"Cempe Sapih",IF($R46&lt;=8,"Dara","Betina Siap Kawin"))),"")))</f>
        <v>Cempe Lahir</v>
      </c>
      <c r="T46" s="42" t="n">
        <v>1250000</v>
      </c>
      <c r="U46" s="6" t="s">
        <v>374</v>
      </c>
      <c r="V46" s="8" t="s">
        <v>91</v>
      </c>
      <c r="W46" s="26" t="s">
        <v>393</v>
      </c>
      <c r="X46" s="5"/>
      <c r="Y46" s="6" t="s">
        <v>376</v>
      </c>
      <c r="Z46" s="7" t="s">
        <v>453</v>
      </c>
      <c r="AA46" s="26"/>
    </row>
    <row r="47" customFormat="false" ht="15" hidden="false" customHeight="true" outlineLevel="0" collapsed="false">
      <c r="A47" s="26" t="n">
        <v>42</v>
      </c>
      <c r="B47" s="39" t="n">
        <v>45992</v>
      </c>
      <c r="C47" s="16" t="s">
        <v>466</v>
      </c>
      <c r="D47" s="5" t="s">
        <v>466</v>
      </c>
      <c r="E47" s="5" t="s">
        <v>466</v>
      </c>
      <c r="F47" s="6"/>
      <c r="G47" s="26" t="n">
        <v>3</v>
      </c>
      <c r="H47" s="5" t="s">
        <v>463</v>
      </c>
      <c r="I47" s="8" t="s">
        <v>178</v>
      </c>
      <c r="J47" s="5" t="s">
        <v>15</v>
      </c>
      <c r="K47" s="8" t="s">
        <v>16</v>
      </c>
      <c r="L47" s="8" t="s">
        <v>252</v>
      </c>
      <c r="M47" s="5" t="s">
        <v>383</v>
      </c>
      <c r="N47" s="5" t="s">
        <v>467</v>
      </c>
      <c r="O47" s="45" t="n">
        <v>2.25</v>
      </c>
      <c r="P47" s="26"/>
      <c r="Q47" s="5" t="s">
        <v>440</v>
      </c>
      <c r="R47" s="8" t="n">
        <f aca="false">IF($B47="","",ROUND(($Q$3-$B47)/30,1))</f>
        <v>-1533.1</v>
      </c>
      <c r="S47" s="8" t="str">
        <f aca="false">IF(OR($M47="",$R47=""),"",IF($M47="Jantan",IF($R47&lt;=3,"Cempe Lahir",IF($R47&lt;=6,"Cempe Sapih",IF($R47&lt;=12,"Bakalan","Jantan Siap Kawin"))),IF($M47="Betina",IF($R47&lt;=3,"Cempe Lahir",IF($R47&lt;=6,"Cempe Sapih",IF($R47&lt;=8,"Dara","Betina Siap Kawin"))),"")))</f>
        <v>Cempe Lahir</v>
      </c>
      <c r="T47" s="42" t="n">
        <v>1250000</v>
      </c>
      <c r="U47" s="6" t="s">
        <v>380</v>
      </c>
      <c r="V47" s="8" t="s">
        <v>91</v>
      </c>
      <c r="W47" s="26" t="s">
        <v>393</v>
      </c>
      <c r="X47" s="5"/>
      <c r="Y47" s="6" t="s">
        <v>376</v>
      </c>
      <c r="Z47" s="26" t="s">
        <v>468</v>
      </c>
      <c r="AA47" s="26" t="s">
        <v>468</v>
      </c>
    </row>
    <row r="48" customFormat="false" ht="15" hidden="false" customHeight="true" outlineLevel="0" collapsed="false">
      <c r="A48" s="26" t="n">
        <v>43</v>
      </c>
      <c r="B48" s="39" t="n">
        <v>45994</v>
      </c>
      <c r="C48" s="16" t="s">
        <v>469</v>
      </c>
      <c r="D48" s="5" t="s">
        <v>469</v>
      </c>
      <c r="E48" s="5" t="s">
        <v>469</v>
      </c>
      <c r="F48" s="6"/>
      <c r="G48" s="26" t="n">
        <v>2</v>
      </c>
      <c r="H48" s="5" t="s">
        <v>318</v>
      </c>
      <c r="I48" s="8" t="s">
        <v>318</v>
      </c>
      <c r="J48" s="5" t="s">
        <v>15</v>
      </c>
      <c r="K48" s="8" t="s">
        <v>16</v>
      </c>
      <c r="L48" s="8" t="s">
        <v>252</v>
      </c>
      <c r="M48" s="5" t="s">
        <v>234</v>
      </c>
      <c r="N48" s="5" t="s">
        <v>372</v>
      </c>
      <c r="O48" s="45" t="n">
        <v>3.95</v>
      </c>
      <c r="P48" s="26"/>
      <c r="Q48" s="5" t="s">
        <v>3</v>
      </c>
      <c r="R48" s="8" t="n">
        <f aca="false">IF($B48="","",ROUND(($Q$3-$B48)/30,1))</f>
        <v>-1533.1</v>
      </c>
      <c r="S48" s="8" t="str">
        <f aca="false">IF(OR($M48="",$R48=""),"",IF($M48="Jantan",IF($R48&lt;=3,"Cempe Lahir",IF($R48&lt;=6,"Cempe Sapih",IF($R48&lt;=12,"Bakalan","Jantan Siap Kawin"))),IF($M48="Betina",IF($R48&lt;=3,"Cempe Lahir",IF($R48&lt;=6,"Cempe Sapih",IF($R48&lt;=8,"Dara","Betina Siap Kawin"))),"")))</f>
        <v>Cempe Lahir</v>
      </c>
      <c r="T48" s="42" t="n">
        <v>1250000</v>
      </c>
      <c r="U48" s="6" t="s">
        <v>384</v>
      </c>
      <c r="V48" s="9" t="s">
        <v>92</v>
      </c>
      <c r="W48" s="26" t="s">
        <v>393</v>
      </c>
      <c r="X48" s="6"/>
      <c r="Y48" s="26" t="s">
        <v>381</v>
      </c>
      <c r="Z48" s="26" t="s">
        <v>470</v>
      </c>
      <c r="AA48" s="26" t="s">
        <v>470</v>
      </c>
    </row>
    <row r="49" customFormat="false" ht="15" hidden="false" customHeight="true" outlineLevel="0" collapsed="false">
      <c r="A49" s="26" t="n">
        <v>44</v>
      </c>
      <c r="B49" s="39" t="n">
        <v>45994</v>
      </c>
      <c r="C49" s="16" t="s">
        <v>471</v>
      </c>
      <c r="D49" s="5" t="s">
        <v>471</v>
      </c>
      <c r="E49" s="5" t="s">
        <v>471</v>
      </c>
      <c r="F49" s="6"/>
      <c r="G49" s="26" t="n">
        <v>2</v>
      </c>
      <c r="H49" s="5" t="s">
        <v>318</v>
      </c>
      <c r="I49" s="8" t="s">
        <v>318</v>
      </c>
      <c r="J49" s="5" t="s">
        <v>15</v>
      </c>
      <c r="K49" s="8" t="s">
        <v>16</v>
      </c>
      <c r="L49" s="8" t="s">
        <v>252</v>
      </c>
      <c r="M49" s="5" t="s">
        <v>234</v>
      </c>
      <c r="N49" s="5" t="s">
        <v>372</v>
      </c>
      <c r="O49" s="45" t="n">
        <v>3.5</v>
      </c>
      <c r="P49" s="26"/>
      <c r="Q49" s="5" t="s">
        <v>3</v>
      </c>
      <c r="R49" s="8" t="n">
        <f aca="false">IF($B49="","",ROUND(($Q$3-$B49)/30,1))</f>
        <v>-1533.1</v>
      </c>
      <c r="S49" s="8" t="str">
        <f aca="false">IF(OR($M49="",$R49=""),"",IF($M49="Jantan",IF($R49&lt;=3,"Cempe Lahir",IF($R49&lt;=6,"Cempe Sapih",IF($R49&lt;=12,"Bakalan","Jantan Siap Kawin"))),IF($M49="Betina",IF($R49&lt;=3,"Cempe Lahir",IF($R49&lt;=6,"Cempe Sapih",IF($R49&lt;=8,"Dara","Betina Siap Kawin"))),"")))</f>
        <v>Cempe Lahir</v>
      </c>
      <c r="T49" s="42" t="n">
        <v>1250000</v>
      </c>
      <c r="U49" s="6" t="s">
        <v>386</v>
      </c>
      <c r="V49" s="9" t="s">
        <v>92</v>
      </c>
      <c r="W49" s="26" t="s">
        <v>375</v>
      </c>
      <c r="X49" s="6"/>
      <c r="Y49" s="26" t="s">
        <v>381</v>
      </c>
      <c r="Z49" s="26"/>
      <c r="AA49" s="26"/>
    </row>
    <row r="50" customFormat="false" ht="15" hidden="false" customHeight="true" outlineLevel="0" collapsed="false">
      <c r="A50" s="26" t="n">
        <v>45</v>
      </c>
      <c r="B50" s="39" t="n">
        <v>45999</v>
      </c>
      <c r="C50" s="16" t="s">
        <v>472</v>
      </c>
      <c r="D50" s="5" t="s">
        <v>472</v>
      </c>
      <c r="E50" s="5" t="s">
        <v>472</v>
      </c>
      <c r="F50" s="6"/>
      <c r="G50" s="26" t="n">
        <v>2</v>
      </c>
      <c r="H50" s="7" t="s">
        <v>350</v>
      </c>
      <c r="I50" s="8" t="s">
        <v>350</v>
      </c>
      <c r="J50" s="5" t="s">
        <v>15</v>
      </c>
      <c r="K50" s="8" t="s">
        <v>16</v>
      </c>
      <c r="L50" s="8" t="s">
        <v>252</v>
      </c>
      <c r="M50" s="5" t="s">
        <v>234</v>
      </c>
      <c r="N50" s="5" t="s">
        <v>372</v>
      </c>
      <c r="O50" s="45" t="n">
        <v>3.8</v>
      </c>
      <c r="P50" s="26"/>
      <c r="Q50" s="5" t="s">
        <v>3</v>
      </c>
      <c r="R50" s="8" t="n">
        <f aca="false">IF($B50="","",ROUND(($Q$3-$B50)/30,1))</f>
        <v>-1533.3</v>
      </c>
      <c r="S50" s="8" t="str">
        <f aca="false">IF(OR($M50="",$R50=""),"",IF($M50="Jantan",IF($R50&lt;=3,"Cempe Lahir",IF($R50&lt;=6,"Cempe Sapih",IF($R50&lt;=12,"Bakalan","Jantan Siap Kawin"))),IF($M50="Betina",IF($R50&lt;=3,"Cempe Lahir",IF($R50&lt;=6,"Cempe Sapih",IF($R50&lt;=8,"Dara","Betina Siap Kawin"))),"")))</f>
        <v>Cempe Lahir</v>
      </c>
      <c r="T50" s="42" t="n">
        <v>1250000</v>
      </c>
      <c r="U50" s="6" t="s">
        <v>374</v>
      </c>
      <c r="V50" s="9" t="s">
        <v>92</v>
      </c>
      <c r="W50" s="26" t="s">
        <v>375</v>
      </c>
      <c r="X50" s="6"/>
      <c r="Y50" s="6" t="s">
        <v>376</v>
      </c>
      <c r="Z50" s="26" t="s">
        <v>473</v>
      </c>
      <c r="AA50" s="26" t="s">
        <v>473</v>
      </c>
    </row>
    <row r="51" customFormat="false" ht="15" hidden="false" customHeight="true" outlineLevel="0" collapsed="false">
      <c r="A51" s="26" t="n">
        <v>46</v>
      </c>
      <c r="B51" s="39" t="n">
        <v>45999</v>
      </c>
      <c r="C51" s="16" t="s">
        <v>474</v>
      </c>
      <c r="D51" s="5" t="s">
        <v>474</v>
      </c>
      <c r="E51" s="5" t="s">
        <v>474</v>
      </c>
      <c r="F51" s="6"/>
      <c r="G51" s="26" t="n">
        <v>2</v>
      </c>
      <c r="H51" s="7" t="s">
        <v>350</v>
      </c>
      <c r="I51" s="8" t="s">
        <v>350</v>
      </c>
      <c r="J51" s="5" t="s">
        <v>15</v>
      </c>
      <c r="K51" s="8" t="s">
        <v>16</v>
      </c>
      <c r="L51" s="8" t="s">
        <v>252</v>
      </c>
      <c r="M51" s="5" t="s">
        <v>234</v>
      </c>
      <c r="N51" s="5" t="s">
        <v>372</v>
      </c>
      <c r="O51" s="45" t="n">
        <v>3.6</v>
      </c>
      <c r="P51" s="26"/>
      <c r="Q51" s="5" t="s">
        <v>3</v>
      </c>
      <c r="R51" s="8" t="n">
        <f aca="false">IF($B51="","",ROUND(($Q$3-$B51)/30,1))</f>
        <v>-1533.3</v>
      </c>
      <c r="S51" s="8" t="str">
        <f aca="false">IF(OR($M51="",$R51=""),"",IF($M51="Jantan",IF($R51&lt;=3,"Cempe Lahir",IF($R51&lt;=6,"Cempe Sapih",IF($R51&lt;=12,"Bakalan","Jantan Siap Kawin"))),IF($M51="Betina",IF($R51&lt;=3,"Cempe Lahir",IF($R51&lt;=6,"Cempe Sapih",IF($R51&lt;=8,"Dara","Betina Siap Kawin"))),"")))</f>
        <v>Cempe Lahir</v>
      </c>
      <c r="T51" s="42" t="n">
        <v>1250000</v>
      </c>
      <c r="U51" s="6" t="s">
        <v>380</v>
      </c>
      <c r="V51" s="9" t="s">
        <v>92</v>
      </c>
      <c r="W51" s="26" t="s">
        <v>375</v>
      </c>
      <c r="X51" s="6"/>
      <c r="Y51" s="6" t="s">
        <v>376</v>
      </c>
      <c r="Z51" s="26" t="s">
        <v>475</v>
      </c>
      <c r="AA51" s="26" t="s">
        <v>475</v>
      </c>
    </row>
    <row r="52" customFormat="false" ht="15" hidden="false" customHeight="true" outlineLevel="0" collapsed="false">
      <c r="A52" s="26" t="n">
        <v>47</v>
      </c>
      <c r="B52" s="39" t="n">
        <v>46000</v>
      </c>
      <c r="C52" s="16" t="s">
        <v>476</v>
      </c>
      <c r="D52" s="5" t="s">
        <v>476</v>
      </c>
      <c r="E52" s="5" t="s">
        <v>476</v>
      </c>
      <c r="F52" s="6"/>
      <c r="G52" s="26" t="n">
        <v>1</v>
      </c>
      <c r="H52" s="5" t="s">
        <v>419</v>
      </c>
      <c r="I52" s="8" t="s">
        <v>172</v>
      </c>
      <c r="J52" s="5" t="s">
        <v>15</v>
      </c>
      <c r="K52" s="8" t="s">
        <v>16</v>
      </c>
      <c r="L52" s="8" t="s">
        <v>252</v>
      </c>
      <c r="M52" s="5" t="s">
        <v>383</v>
      </c>
      <c r="N52" s="5" t="s">
        <v>372</v>
      </c>
      <c r="O52" s="45" t="n">
        <v>4.1</v>
      </c>
      <c r="P52" s="26"/>
      <c r="Q52" s="5" t="s">
        <v>9</v>
      </c>
      <c r="R52" s="8" t="n">
        <f aca="false">IF($B52="","",ROUND(($Q$3-$B52)/30,1))</f>
        <v>-1533.3</v>
      </c>
      <c r="S52" s="8" t="str">
        <f aca="false">IF(OR($M52="",$R52=""),"",IF($M52="Jantan",IF($R52&lt;=3,"Cempe Lahir",IF($R52&lt;=6,"Cempe Sapih",IF($R52&lt;=12,"Bakalan","Jantan Siap Kawin"))),IF($M52="Betina",IF($R52&lt;=3,"Cempe Lahir",IF($R52&lt;=6,"Cempe Sapih",IF($R52&lt;=8,"Dara","Betina Siap Kawin"))),"")))</f>
        <v>Cempe Lahir</v>
      </c>
      <c r="T52" s="42" t="n">
        <v>1250000</v>
      </c>
      <c r="U52" s="6" t="s">
        <v>384</v>
      </c>
      <c r="V52" s="8" t="s">
        <v>87</v>
      </c>
      <c r="W52" s="26" t="s">
        <v>393</v>
      </c>
      <c r="X52" s="5"/>
      <c r="Y52" s="26" t="s">
        <v>381</v>
      </c>
      <c r="Z52" s="26" t="s">
        <v>448</v>
      </c>
      <c r="AA52" s="26" t="s">
        <v>448</v>
      </c>
    </row>
    <row r="53" customFormat="false" ht="15" hidden="false" customHeight="true" outlineLevel="0" collapsed="false">
      <c r="A53" s="26" t="n">
        <v>48</v>
      </c>
      <c r="B53" s="39" t="n">
        <v>46010</v>
      </c>
      <c r="C53" s="16" t="s">
        <v>477</v>
      </c>
      <c r="D53" s="5" t="s">
        <v>477</v>
      </c>
      <c r="E53" s="5" t="s">
        <v>477</v>
      </c>
      <c r="F53" s="6"/>
      <c r="G53" s="26" t="n">
        <v>2</v>
      </c>
      <c r="H53" s="5" t="s">
        <v>320</v>
      </c>
      <c r="I53" s="8" t="s">
        <v>320</v>
      </c>
      <c r="J53" s="5" t="s">
        <v>302</v>
      </c>
      <c r="K53" s="8" t="s">
        <v>15</v>
      </c>
      <c r="L53" s="8" t="s">
        <v>233</v>
      </c>
      <c r="M53" s="5" t="s">
        <v>383</v>
      </c>
      <c r="N53" s="5" t="s">
        <v>372</v>
      </c>
      <c r="O53" s="45" t="n">
        <v>4</v>
      </c>
      <c r="P53" s="26"/>
      <c r="Q53" s="5" t="s">
        <v>373</v>
      </c>
      <c r="R53" s="8" t="n">
        <f aca="false">IF($B53="","",ROUND(($Q$3-$B53)/30,1))</f>
        <v>-1533.7</v>
      </c>
      <c r="S53" s="8" t="str">
        <f aca="false">IF(OR($M53="",$R53=""),"",IF($M53="Jantan",IF($R53&lt;=3,"Cempe Lahir",IF($R53&lt;=6,"Cempe Sapih",IF($R53&lt;=12,"Bakalan","Jantan Siap Kawin"))),IF($M53="Betina",IF($R53&lt;=3,"Cempe Lahir",IF($R53&lt;=6,"Cempe Sapih",IF($R53&lt;=8,"Dara","Betina Siap Kawin"))),"")))</f>
        <v>Cempe Lahir</v>
      </c>
      <c r="T53" s="42" t="n">
        <v>1250000</v>
      </c>
      <c r="U53" s="6" t="s">
        <v>386</v>
      </c>
      <c r="V53" s="9" t="s">
        <v>92</v>
      </c>
      <c r="W53" s="26" t="s">
        <v>375</v>
      </c>
      <c r="X53" s="6"/>
      <c r="Y53" s="26" t="s">
        <v>381</v>
      </c>
      <c r="Z53" s="26" t="s">
        <v>478</v>
      </c>
      <c r="AA53" s="26" t="s">
        <v>478</v>
      </c>
    </row>
    <row r="54" customFormat="false" ht="15" hidden="false" customHeight="true" outlineLevel="0" collapsed="false">
      <c r="A54" s="26" t="n">
        <v>49</v>
      </c>
      <c r="B54" s="39" t="n">
        <v>46010</v>
      </c>
      <c r="C54" s="16" t="s">
        <v>479</v>
      </c>
      <c r="D54" s="5" t="s">
        <v>479</v>
      </c>
      <c r="E54" s="5" t="s">
        <v>479</v>
      </c>
      <c r="F54" s="6"/>
      <c r="G54" s="26" t="n">
        <v>2</v>
      </c>
      <c r="H54" s="5" t="s">
        <v>320</v>
      </c>
      <c r="I54" s="8" t="s">
        <v>320</v>
      </c>
      <c r="J54" s="5" t="s">
        <v>302</v>
      </c>
      <c r="K54" s="8" t="s">
        <v>15</v>
      </c>
      <c r="L54" s="8" t="s">
        <v>233</v>
      </c>
      <c r="M54" s="5" t="s">
        <v>383</v>
      </c>
      <c r="N54" s="5" t="s">
        <v>372</v>
      </c>
      <c r="O54" s="45" t="n">
        <v>3.9</v>
      </c>
      <c r="P54" s="26"/>
      <c r="Q54" s="5" t="s">
        <v>373</v>
      </c>
      <c r="R54" s="8" t="n">
        <f aca="false">IF($B54="","",ROUND(($Q$3-$B54)/30,1))</f>
        <v>-1533.7</v>
      </c>
      <c r="S54" s="8" t="str">
        <f aca="false">IF(OR($M54="",$R54=""),"",IF($M54="Jantan",IF($R54&lt;=3,"Cempe Lahir",IF($R54&lt;=6,"Cempe Sapih",IF($R54&lt;=12,"Bakalan","Jantan Siap Kawin"))),IF($M54="Betina",IF($R54&lt;=3,"Cempe Lahir",IF($R54&lt;=6,"Cempe Sapih",IF($R54&lt;=8,"Dara","Betina Siap Kawin"))),"")))</f>
        <v>Cempe Lahir</v>
      </c>
      <c r="T54" s="42" t="n">
        <v>1250000</v>
      </c>
      <c r="U54" s="6" t="s">
        <v>374</v>
      </c>
      <c r="V54" s="9" t="s">
        <v>92</v>
      </c>
      <c r="W54" s="26" t="s">
        <v>375</v>
      </c>
      <c r="X54" s="6"/>
      <c r="Y54" s="26" t="s">
        <v>381</v>
      </c>
      <c r="Z54" s="26"/>
      <c r="AA54" s="26"/>
    </row>
    <row r="55" customFormat="false" ht="15" hidden="false" customHeight="true" outlineLevel="0" collapsed="false">
      <c r="A55" s="26" t="n">
        <v>50</v>
      </c>
      <c r="B55" s="39" t="n">
        <v>46012</v>
      </c>
      <c r="C55" s="16" t="s">
        <v>480</v>
      </c>
      <c r="D55" s="5" t="s">
        <v>480</v>
      </c>
      <c r="E55" s="5" t="s">
        <v>480</v>
      </c>
      <c r="F55" s="6"/>
      <c r="G55" s="26" t="n">
        <v>2</v>
      </c>
      <c r="H55" s="5" t="s">
        <v>309</v>
      </c>
      <c r="I55" s="8" t="s">
        <v>309</v>
      </c>
      <c r="J55" s="5" t="s">
        <v>302</v>
      </c>
      <c r="K55" s="8" t="s">
        <v>15</v>
      </c>
      <c r="L55" s="8" t="s">
        <v>233</v>
      </c>
      <c r="M55" s="5" t="s">
        <v>383</v>
      </c>
      <c r="N55" s="5" t="s">
        <v>372</v>
      </c>
      <c r="O55" s="45" t="n">
        <v>3.65</v>
      </c>
      <c r="P55" s="26"/>
      <c r="Q55" s="5" t="s">
        <v>373</v>
      </c>
      <c r="R55" s="8" t="n">
        <f aca="false">IF($B55="","",ROUND(($Q$3-$B55)/30,1))</f>
        <v>-1533.7</v>
      </c>
      <c r="S55" s="8" t="str">
        <f aca="false">IF(OR($M55="",$R55=""),"",IF($M55="Jantan",IF($R55&lt;=3,"Cempe Lahir",IF($R55&lt;=6,"Cempe Sapih",IF($R55&lt;=12,"Bakalan","Jantan Siap Kawin"))),IF($M55="Betina",IF($R55&lt;=3,"Cempe Lahir",IF($R55&lt;=6,"Cempe Sapih",IF($R55&lt;=8,"Dara","Betina Siap Kawin"))),"")))</f>
        <v>Cempe Lahir</v>
      </c>
      <c r="T55" s="42" t="n">
        <v>1250000</v>
      </c>
      <c r="U55" s="6" t="s">
        <v>380</v>
      </c>
      <c r="V55" s="9" t="s">
        <v>92</v>
      </c>
      <c r="W55" s="26" t="s">
        <v>375</v>
      </c>
      <c r="X55" s="6"/>
      <c r="Y55" s="26" t="s">
        <v>381</v>
      </c>
      <c r="Z55" s="26" t="s">
        <v>481</v>
      </c>
      <c r="AA55" s="26" t="s">
        <v>481</v>
      </c>
    </row>
    <row r="56" customFormat="false" ht="15" hidden="false" customHeight="true" outlineLevel="0" collapsed="false">
      <c r="A56" s="26" t="n">
        <v>51</v>
      </c>
      <c r="B56" s="39" t="n">
        <v>46012</v>
      </c>
      <c r="C56" s="16" t="s">
        <v>482</v>
      </c>
      <c r="D56" s="5" t="s">
        <v>482</v>
      </c>
      <c r="E56" s="5" t="s">
        <v>482</v>
      </c>
      <c r="F56" s="6"/>
      <c r="G56" s="26" t="n">
        <v>2</v>
      </c>
      <c r="H56" s="5" t="s">
        <v>309</v>
      </c>
      <c r="I56" s="8" t="s">
        <v>309</v>
      </c>
      <c r="J56" s="5" t="s">
        <v>302</v>
      </c>
      <c r="K56" s="8" t="s">
        <v>15</v>
      </c>
      <c r="L56" s="8" t="s">
        <v>233</v>
      </c>
      <c r="M56" s="5" t="s">
        <v>234</v>
      </c>
      <c r="N56" s="5" t="s">
        <v>372</v>
      </c>
      <c r="O56" s="45" t="n">
        <v>4.05</v>
      </c>
      <c r="P56" s="26"/>
      <c r="Q56" s="5" t="s">
        <v>373</v>
      </c>
      <c r="R56" s="8" t="n">
        <f aca="false">IF($B56="","",ROUND(($Q$3-$B56)/30,1))</f>
        <v>-1533.7</v>
      </c>
      <c r="S56" s="8" t="str">
        <f aca="false">IF(OR($M56="",$R56=""),"",IF($M56="Jantan",IF($R56&lt;=3,"Cempe Lahir",IF($R56&lt;=6,"Cempe Sapih",IF($R56&lt;=12,"Bakalan","Jantan Siap Kawin"))),IF($M56="Betina",IF($R56&lt;=3,"Cempe Lahir",IF($R56&lt;=6,"Cempe Sapih",IF($R56&lt;=8,"Dara","Betina Siap Kawin"))),"")))</f>
        <v>Cempe Lahir</v>
      </c>
      <c r="T56" s="42" t="n">
        <v>1250000</v>
      </c>
      <c r="U56" s="6" t="s">
        <v>384</v>
      </c>
      <c r="V56" s="9" t="s">
        <v>92</v>
      </c>
      <c r="W56" s="26" t="s">
        <v>375</v>
      </c>
      <c r="X56" s="6"/>
      <c r="Y56" s="26" t="s">
        <v>381</v>
      </c>
      <c r="Z56" s="26"/>
      <c r="AA56" s="26"/>
    </row>
    <row r="57" customFormat="false" ht="15" hidden="false" customHeight="true" outlineLevel="0" collapsed="false">
      <c r="A57" s="26" t="n">
        <v>52</v>
      </c>
      <c r="B57" s="39" t="n">
        <v>46013</v>
      </c>
      <c r="C57" s="16" t="s">
        <v>483</v>
      </c>
      <c r="D57" s="5" t="s">
        <v>483</v>
      </c>
      <c r="E57" s="5" t="s">
        <v>483</v>
      </c>
      <c r="F57" s="6"/>
      <c r="G57" s="26" t="n">
        <v>2</v>
      </c>
      <c r="H57" s="5" t="s">
        <v>310</v>
      </c>
      <c r="I57" s="8" t="s">
        <v>310</v>
      </c>
      <c r="J57" s="5" t="s">
        <v>302</v>
      </c>
      <c r="K57" s="8" t="s">
        <v>15</v>
      </c>
      <c r="L57" s="8" t="s">
        <v>233</v>
      </c>
      <c r="M57" s="5" t="s">
        <v>234</v>
      </c>
      <c r="N57" s="5" t="s">
        <v>372</v>
      </c>
      <c r="O57" s="45" t="n">
        <v>3.65</v>
      </c>
      <c r="P57" s="26"/>
      <c r="Q57" s="5" t="s">
        <v>373</v>
      </c>
      <c r="R57" s="8" t="n">
        <f aca="false">IF($B57="","",ROUND(($Q$3-$B57)/30,1))</f>
        <v>-1533.8</v>
      </c>
      <c r="S57" s="8" t="str">
        <f aca="false">IF(OR($M57="",$R57=""),"",IF($M57="Jantan",IF($R57&lt;=3,"Cempe Lahir",IF($R57&lt;=6,"Cempe Sapih",IF($R57&lt;=12,"Bakalan","Jantan Siap Kawin"))),IF($M57="Betina",IF($R57&lt;=3,"Cempe Lahir",IF($R57&lt;=6,"Cempe Sapih",IF($R57&lt;=8,"Dara","Betina Siap Kawin"))),"")))</f>
        <v>Cempe Lahir</v>
      </c>
      <c r="T57" s="42" t="n">
        <v>1250000</v>
      </c>
      <c r="U57" s="6" t="s">
        <v>386</v>
      </c>
      <c r="V57" s="9" t="s">
        <v>92</v>
      </c>
      <c r="W57" s="26" t="s">
        <v>375</v>
      </c>
      <c r="X57" s="6"/>
      <c r="Y57" s="26" t="s">
        <v>381</v>
      </c>
      <c r="Z57" s="26" t="s">
        <v>470</v>
      </c>
      <c r="AA57" s="26" t="s">
        <v>470</v>
      </c>
    </row>
    <row r="58" customFormat="false" ht="15" hidden="false" customHeight="true" outlineLevel="0" collapsed="false">
      <c r="A58" s="26" t="n">
        <v>53</v>
      </c>
      <c r="B58" s="39" t="n">
        <v>46013</v>
      </c>
      <c r="C58" s="16" t="s">
        <v>484</v>
      </c>
      <c r="D58" s="5" t="s">
        <v>484</v>
      </c>
      <c r="E58" s="5" t="s">
        <v>484</v>
      </c>
      <c r="F58" s="6"/>
      <c r="G58" s="26" t="n">
        <v>2</v>
      </c>
      <c r="H58" s="5" t="s">
        <v>310</v>
      </c>
      <c r="I58" s="8" t="s">
        <v>310</v>
      </c>
      <c r="J58" s="5" t="s">
        <v>302</v>
      </c>
      <c r="K58" s="8" t="s">
        <v>15</v>
      </c>
      <c r="L58" s="8" t="s">
        <v>233</v>
      </c>
      <c r="M58" s="5" t="s">
        <v>234</v>
      </c>
      <c r="N58" s="5" t="s">
        <v>372</v>
      </c>
      <c r="O58" s="45" t="n">
        <v>4</v>
      </c>
      <c r="P58" s="26"/>
      <c r="Q58" s="5" t="s">
        <v>373</v>
      </c>
      <c r="R58" s="8" t="n">
        <f aca="false">IF($B58="","",ROUND(($Q$3-$B58)/30,1))</f>
        <v>-1533.8</v>
      </c>
      <c r="S58" s="8" t="str">
        <f aca="false">IF(OR($M58="",$R58=""),"",IF($M58="Jantan",IF($R58&lt;=3,"Cempe Lahir",IF($R58&lt;=6,"Cempe Sapih",IF($R58&lt;=12,"Bakalan","Jantan Siap Kawin"))),IF($M58="Betina",IF($R58&lt;=3,"Cempe Lahir",IF($R58&lt;=6,"Cempe Sapih",IF($R58&lt;=8,"Dara","Betina Siap Kawin"))),"")))</f>
        <v>Cempe Lahir</v>
      </c>
      <c r="T58" s="42" t="n">
        <v>1250000</v>
      </c>
      <c r="U58" s="6" t="s">
        <v>374</v>
      </c>
      <c r="V58" s="9" t="s">
        <v>92</v>
      </c>
      <c r="W58" s="26" t="s">
        <v>375</v>
      </c>
      <c r="X58" s="6"/>
      <c r="Y58" s="26" t="s">
        <v>381</v>
      </c>
      <c r="Z58" s="26"/>
      <c r="AA58" s="26"/>
    </row>
    <row r="59" customFormat="false" ht="15" hidden="false" customHeight="true" outlineLevel="0" collapsed="false">
      <c r="A59" s="26" t="n">
        <v>54</v>
      </c>
      <c r="B59" s="39" t="n">
        <v>46015</v>
      </c>
      <c r="C59" s="16" t="s">
        <v>485</v>
      </c>
      <c r="D59" s="5" t="s">
        <v>485</v>
      </c>
      <c r="E59" s="5" t="s">
        <v>485</v>
      </c>
      <c r="F59" s="6"/>
      <c r="G59" s="26" t="n">
        <v>1</v>
      </c>
      <c r="H59" s="5" t="s">
        <v>314</v>
      </c>
      <c r="I59" s="8" t="s">
        <v>314</v>
      </c>
      <c r="J59" s="5" t="s">
        <v>302</v>
      </c>
      <c r="K59" s="8" t="s">
        <v>15</v>
      </c>
      <c r="L59" s="8" t="s">
        <v>233</v>
      </c>
      <c r="M59" s="5" t="s">
        <v>383</v>
      </c>
      <c r="N59" s="5" t="s">
        <v>372</v>
      </c>
      <c r="O59" s="45" t="n">
        <v>5.15</v>
      </c>
      <c r="P59" s="26"/>
      <c r="Q59" s="5" t="s">
        <v>373</v>
      </c>
      <c r="R59" s="8" t="n">
        <f aca="false">IF($B59="","",ROUND(($Q$3-$B59)/30,1))</f>
        <v>-1533.8</v>
      </c>
      <c r="S59" s="8" t="str">
        <f aca="false">IF(OR($M59="",$R59=""),"",IF($M59="Jantan",IF($R59&lt;=3,"Cempe Lahir",IF($R59&lt;=6,"Cempe Sapih",IF($R59&lt;=12,"Bakalan","Jantan Siap Kawin"))),IF($M59="Betina",IF($R59&lt;=3,"Cempe Lahir",IF($R59&lt;=6,"Cempe Sapih",IF($R59&lt;=8,"Dara","Betina Siap Kawin"))),"")))</f>
        <v>Cempe Lahir</v>
      </c>
      <c r="T59" s="42" t="n">
        <v>1250000</v>
      </c>
      <c r="U59" s="6" t="s">
        <v>380</v>
      </c>
      <c r="V59" s="9" t="s">
        <v>92</v>
      </c>
      <c r="W59" s="26" t="s">
        <v>375</v>
      </c>
      <c r="X59" s="6"/>
      <c r="Y59" s="26" t="s">
        <v>381</v>
      </c>
      <c r="Z59" s="26"/>
      <c r="AA59" s="26"/>
    </row>
    <row r="60" customFormat="false" ht="15" hidden="false" customHeight="true" outlineLevel="0" collapsed="false">
      <c r="A60" s="26" t="n">
        <v>55</v>
      </c>
      <c r="B60" s="39" t="n">
        <v>46019</v>
      </c>
      <c r="C60" s="43" t="s">
        <v>486</v>
      </c>
      <c r="D60" s="7" t="s">
        <v>486</v>
      </c>
      <c r="E60" s="5"/>
      <c r="F60" s="6"/>
      <c r="G60" s="26" t="n">
        <v>1</v>
      </c>
      <c r="H60" s="5" t="s">
        <v>313</v>
      </c>
      <c r="I60" s="8" t="s">
        <v>313</v>
      </c>
      <c r="J60" s="5" t="s">
        <v>302</v>
      </c>
      <c r="K60" s="8" t="s">
        <v>15</v>
      </c>
      <c r="L60" s="8" t="s">
        <v>233</v>
      </c>
      <c r="M60" s="5" t="s">
        <v>234</v>
      </c>
      <c r="N60" s="5" t="s">
        <v>372</v>
      </c>
      <c r="O60" s="46" t="n">
        <v>4.5</v>
      </c>
      <c r="P60" s="26" t="s">
        <v>393</v>
      </c>
      <c r="Q60" s="5" t="s">
        <v>373</v>
      </c>
      <c r="R60" s="8" t="n">
        <f aca="false">IF($B60="","",ROUND(($Q$3-$B60)/30,1))</f>
        <v>-1534</v>
      </c>
      <c r="S60" s="8" t="str">
        <f aca="false">IF(OR($M60="",$R60=""),"",IF($M60="Jantan",IF($R60&lt;=3,"Cempe Lahir",IF($R60&lt;=6,"Cempe Sapih",IF($R60&lt;=12,"Bakalan","Jantan Siap Kawin"))),IF($M60="Betina",IF($R60&lt;=3,"Cempe Lahir",IF($R60&lt;=6,"Cempe Sapih",IF($R60&lt;=8,"Dara","Betina Siap Kawin"))),"")))</f>
        <v>Cempe Lahir</v>
      </c>
      <c r="T60" s="42" t="n">
        <v>1250000</v>
      </c>
      <c r="U60" s="6" t="s">
        <v>384</v>
      </c>
      <c r="V60" s="9" t="s">
        <v>92</v>
      </c>
      <c r="W60" s="26" t="s">
        <v>375</v>
      </c>
      <c r="X60" s="6"/>
      <c r="Y60" s="7" t="s">
        <v>426</v>
      </c>
      <c r="Z60" s="7" t="s">
        <v>487</v>
      </c>
      <c r="AA60" s="26" t="s">
        <v>488</v>
      </c>
    </row>
    <row r="61" customFormat="false" ht="15" hidden="false" customHeight="true" outlineLevel="0" collapsed="false">
      <c r="A61" s="26" t="n">
        <v>56</v>
      </c>
      <c r="B61" s="39" t="n">
        <v>46019</v>
      </c>
      <c r="C61" s="43" t="s">
        <v>489</v>
      </c>
      <c r="D61" s="7" t="s">
        <v>489</v>
      </c>
      <c r="E61" s="5"/>
      <c r="F61" s="6"/>
      <c r="G61" s="26" t="n">
        <v>1</v>
      </c>
      <c r="H61" s="5" t="s">
        <v>312</v>
      </c>
      <c r="I61" s="8" t="s">
        <v>312</v>
      </c>
      <c r="J61" s="5" t="s">
        <v>302</v>
      </c>
      <c r="K61" s="8" t="s">
        <v>15</v>
      </c>
      <c r="L61" s="8" t="s">
        <v>233</v>
      </c>
      <c r="M61" s="5" t="s">
        <v>383</v>
      </c>
      <c r="N61" s="5" t="s">
        <v>372</v>
      </c>
      <c r="O61" s="46" t="n">
        <v>4.5</v>
      </c>
      <c r="P61" s="26" t="s">
        <v>393</v>
      </c>
      <c r="Q61" s="5" t="s">
        <v>373</v>
      </c>
      <c r="R61" s="8" t="n">
        <f aca="false">IF($B61="","",ROUND(($Q$3-$B61)/30,1))</f>
        <v>-1534</v>
      </c>
      <c r="S61" s="8" t="str">
        <f aca="false">IF(OR($M61="",$R61=""),"",IF($M61="Jantan",IF($R61&lt;=3,"Cempe Lahir",IF($R61&lt;=6,"Cempe Sapih",IF($R61&lt;=12,"Bakalan","Jantan Siap Kawin"))),IF($M61="Betina",IF($R61&lt;=3,"Cempe Lahir",IF($R61&lt;=6,"Cempe Sapih",IF($R61&lt;=8,"Dara","Betina Siap Kawin"))),"")))</f>
        <v>Cempe Lahir</v>
      </c>
      <c r="T61" s="42" t="n">
        <v>1250000</v>
      </c>
      <c r="U61" s="6" t="s">
        <v>386</v>
      </c>
      <c r="V61" s="9" t="s">
        <v>92</v>
      </c>
      <c r="W61" s="26" t="s">
        <v>375</v>
      </c>
      <c r="X61" s="6"/>
      <c r="Y61" s="7" t="s">
        <v>426</v>
      </c>
      <c r="Z61" s="7" t="s">
        <v>487</v>
      </c>
      <c r="AA61" s="26" t="s">
        <v>490</v>
      </c>
    </row>
    <row r="62" customFormat="false" ht="15" hidden="false" customHeight="true" outlineLevel="0" collapsed="false">
      <c r="A62" s="26" t="n">
        <v>57</v>
      </c>
      <c r="B62" s="39" t="n">
        <v>46019</v>
      </c>
      <c r="C62" s="43" t="s">
        <v>491</v>
      </c>
      <c r="D62" s="7" t="s">
        <v>491</v>
      </c>
      <c r="E62" s="5"/>
      <c r="F62" s="6"/>
      <c r="G62" s="26" t="n">
        <v>1</v>
      </c>
      <c r="H62" s="5" t="s">
        <v>315</v>
      </c>
      <c r="I62" s="8" t="s">
        <v>315</v>
      </c>
      <c r="J62" s="5" t="s">
        <v>302</v>
      </c>
      <c r="K62" s="8" t="s">
        <v>15</v>
      </c>
      <c r="L62" s="8" t="s">
        <v>233</v>
      </c>
      <c r="M62" s="5" t="s">
        <v>234</v>
      </c>
      <c r="N62" s="5" t="s">
        <v>372</v>
      </c>
      <c r="O62" s="46" t="n">
        <v>4.5</v>
      </c>
      <c r="P62" s="26" t="s">
        <v>393</v>
      </c>
      <c r="Q62" s="5" t="s">
        <v>373</v>
      </c>
      <c r="R62" s="8" t="n">
        <f aca="false">IF($B62="","",ROUND(($Q$3-$B62)/30,1))</f>
        <v>-1534</v>
      </c>
      <c r="S62" s="8" t="str">
        <f aca="false">IF(OR($M62="",$R62=""),"",IF($M62="Jantan",IF($R62&lt;=3,"Cempe Lahir",IF($R62&lt;=6,"Cempe Sapih",IF($R62&lt;=12,"Bakalan","Jantan Siap Kawin"))),IF($M62="Betina",IF($R62&lt;=3,"Cempe Lahir",IF($R62&lt;=6,"Cempe Sapih",IF($R62&lt;=8,"Dara","Betina Siap Kawin"))),"")))</f>
        <v>Cempe Lahir</v>
      </c>
      <c r="T62" s="42" t="n">
        <v>1250000</v>
      </c>
      <c r="U62" s="6" t="s">
        <v>374</v>
      </c>
      <c r="V62" s="9" t="s">
        <v>92</v>
      </c>
      <c r="W62" s="26" t="s">
        <v>375</v>
      </c>
      <c r="X62" s="6"/>
      <c r="Y62" s="7" t="s">
        <v>426</v>
      </c>
      <c r="Z62" s="7" t="s">
        <v>487</v>
      </c>
      <c r="AA62" s="26" t="s">
        <v>492</v>
      </c>
    </row>
    <row r="63" customFormat="false" ht="15" hidden="false" customHeight="true" outlineLevel="0" collapsed="false">
      <c r="A63" s="26" t="n">
        <v>58</v>
      </c>
      <c r="B63" s="39" t="n">
        <v>46020</v>
      </c>
      <c r="C63" s="43" t="s">
        <v>493</v>
      </c>
      <c r="D63" s="7" t="s">
        <v>493</v>
      </c>
      <c r="E63" s="5"/>
      <c r="F63" s="6"/>
      <c r="G63" s="26" t="n">
        <v>1</v>
      </c>
      <c r="H63" s="5" t="s">
        <v>337</v>
      </c>
      <c r="I63" s="8" t="s">
        <v>337</v>
      </c>
      <c r="J63" s="5" t="s">
        <v>302</v>
      </c>
      <c r="K63" s="8" t="s">
        <v>15</v>
      </c>
      <c r="L63" s="8" t="s">
        <v>233</v>
      </c>
      <c r="M63" s="5" t="s">
        <v>383</v>
      </c>
      <c r="N63" s="5" t="s">
        <v>372</v>
      </c>
      <c r="O63" s="46" t="n">
        <v>4.5</v>
      </c>
      <c r="P63" s="26" t="s">
        <v>393</v>
      </c>
      <c r="Q63" s="5" t="s">
        <v>373</v>
      </c>
      <c r="R63" s="8" t="n">
        <f aca="false">IF($B63="","",ROUND(($Q$3-$B63)/30,1))</f>
        <v>-1534</v>
      </c>
      <c r="S63" s="8" t="str">
        <f aca="false">IF(OR($M63="",$R63=""),"",IF($M63="Jantan",IF($R63&lt;=3,"Cempe Lahir",IF($R63&lt;=6,"Cempe Sapih",IF($R63&lt;=12,"Bakalan","Jantan Siap Kawin"))),IF($M63="Betina",IF($R63&lt;=3,"Cempe Lahir",IF($R63&lt;=6,"Cempe Sapih",IF($R63&lt;=8,"Dara","Betina Siap Kawin"))),"")))</f>
        <v>Cempe Lahir</v>
      </c>
      <c r="T63" s="42" t="n">
        <v>1250000</v>
      </c>
      <c r="U63" s="6" t="s">
        <v>380</v>
      </c>
      <c r="V63" s="9" t="s">
        <v>92</v>
      </c>
      <c r="W63" s="26" t="s">
        <v>375</v>
      </c>
      <c r="X63" s="6"/>
      <c r="Y63" s="7" t="s">
        <v>426</v>
      </c>
      <c r="Z63" s="7" t="s">
        <v>487</v>
      </c>
      <c r="AA63" s="26" t="s">
        <v>492</v>
      </c>
    </row>
    <row r="64" customFormat="false" ht="15" hidden="false" customHeight="true" outlineLevel="0" collapsed="false">
      <c r="A64" s="26" t="n">
        <v>59</v>
      </c>
      <c r="B64" s="39" t="n">
        <v>46070</v>
      </c>
      <c r="C64" s="16" t="s">
        <v>494</v>
      </c>
      <c r="D64" s="5" t="s">
        <v>494</v>
      </c>
      <c r="E64" s="5" t="s">
        <v>494</v>
      </c>
      <c r="F64" s="6"/>
      <c r="G64" s="26" t="n">
        <v>1</v>
      </c>
      <c r="H64" s="5" t="s">
        <v>495</v>
      </c>
      <c r="I64" s="8" t="s">
        <v>294</v>
      </c>
      <c r="J64" s="5" t="s">
        <v>15</v>
      </c>
      <c r="K64" s="8" t="s">
        <v>16</v>
      </c>
      <c r="L64" s="8" t="s">
        <v>252</v>
      </c>
      <c r="M64" s="5" t="s">
        <v>383</v>
      </c>
      <c r="N64" s="5" t="s">
        <v>372</v>
      </c>
      <c r="O64" s="46" t="n">
        <v>4.5</v>
      </c>
      <c r="P64" s="26" t="s">
        <v>393</v>
      </c>
      <c r="Q64" s="5" t="s">
        <v>440</v>
      </c>
      <c r="R64" s="8" t="n">
        <f aca="false">IF($B64="","",ROUND(($Q$3-$B64)/30,1))</f>
        <v>-1535.7</v>
      </c>
      <c r="S64" s="8" t="str">
        <f aca="false">IF(OR($M64="",$R64=""),"",IF($M64="Jantan",IF($R64&lt;=3,"Cempe Lahir",IF($R64&lt;=6,"Cempe Sapih",IF($R64&lt;=12,"Bakalan","Jantan Siap Kawin"))),IF($M64="Betina",IF($R64&lt;=3,"Cempe Lahir",IF($R64&lt;=6,"Cempe Sapih",IF($R64&lt;=8,"Dara","Betina Siap Kawin"))),"")))</f>
        <v>Cempe Lahir</v>
      </c>
      <c r="T64" s="42" t="n">
        <v>1250000</v>
      </c>
      <c r="U64" s="6" t="s">
        <v>384</v>
      </c>
      <c r="V64" s="8" t="s">
        <v>91</v>
      </c>
      <c r="W64" s="26" t="s">
        <v>393</v>
      </c>
      <c r="X64" s="5"/>
      <c r="Y64" s="6" t="s">
        <v>376</v>
      </c>
      <c r="Z64" s="7" t="s">
        <v>496</v>
      </c>
      <c r="AA64" s="26" t="s">
        <v>497</v>
      </c>
    </row>
    <row r="65" customFormat="false" ht="15" hidden="false" customHeight="true" outlineLevel="0" collapsed="false">
      <c r="A65" s="26" t="n">
        <v>60</v>
      </c>
      <c r="B65" s="39" t="n">
        <v>46123</v>
      </c>
      <c r="C65" s="16" t="s">
        <v>498</v>
      </c>
      <c r="D65" s="5" t="s">
        <v>498</v>
      </c>
      <c r="E65" s="5" t="s">
        <v>499</v>
      </c>
      <c r="F65" s="5" t="s">
        <v>498</v>
      </c>
      <c r="G65" s="26" t="n">
        <v>2</v>
      </c>
      <c r="H65" s="5" t="s">
        <v>175</v>
      </c>
      <c r="I65" s="8" t="s">
        <v>175</v>
      </c>
      <c r="J65" s="5" t="s">
        <v>15</v>
      </c>
      <c r="K65" s="8" t="s">
        <v>16</v>
      </c>
      <c r="L65" s="8" t="s">
        <v>252</v>
      </c>
      <c r="M65" s="5" t="s">
        <v>234</v>
      </c>
      <c r="N65" s="5" t="s">
        <v>372</v>
      </c>
      <c r="O65" s="46" t="n">
        <v>3.5</v>
      </c>
      <c r="P65" s="26" t="s">
        <v>393</v>
      </c>
      <c r="Q65" s="5" t="s">
        <v>9</v>
      </c>
      <c r="R65" s="8" t="n">
        <f aca="false">IF($B65="","",ROUND(($Q$3-$B65)/30,1))</f>
        <v>-1537.4</v>
      </c>
      <c r="S65" s="8" t="str">
        <f aca="false">IF(OR($M65="",$R65=""),"",IF($M65="Jantan",IF($R65&lt;=3,"Cempe Lahir",IF($R65&lt;=6,"Cempe Sapih",IF($R65&lt;=12,"Bakalan","Jantan Siap Kawin"))),IF($M65="Betina",IF($R65&lt;=3,"Cempe Lahir",IF($R65&lt;=6,"Cempe Sapih",IF($R65&lt;=8,"Dara","Betina Siap Kawin"))),"")))</f>
        <v>Cempe Lahir</v>
      </c>
      <c r="T65" s="42" t="n">
        <v>1250000</v>
      </c>
      <c r="U65" s="6" t="s">
        <v>386</v>
      </c>
      <c r="V65" s="8" t="s">
        <v>87</v>
      </c>
      <c r="W65" s="26" t="s">
        <v>393</v>
      </c>
      <c r="X65" s="5"/>
      <c r="Y65" s="6" t="s">
        <v>376</v>
      </c>
      <c r="Z65" s="7" t="s">
        <v>496</v>
      </c>
      <c r="AA65" s="26" t="s">
        <v>500</v>
      </c>
    </row>
    <row r="66" customFormat="false" ht="15" hidden="false" customHeight="true" outlineLevel="0" collapsed="false">
      <c r="A66" s="26" t="n">
        <v>61</v>
      </c>
      <c r="B66" s="39" t="n">
        <v>46123</v>
      </c>
      <c r="C66" s="16" t="s">
        <v>501</v>
      </c>
      <c r="D66" s="5" t="s">
        <v>501</v>
      </c>
      <c r="E66" s="5" t="s">
        <v>502</v>
      </c>
      <c r="F66" s="5" t="s">
        <v>501</v>
      </c>
      <c r="G66" s="26" t="n">
        <v>2</v>
      </c>
      <c r="H66" s="5" t="s">
        <v>175</v>
      </c>
      <c r="I66" s="8" t="s">
        <v>175</v>
      </c>
      <c r="J66" s="5" t="s">
        <v>15</v>
      </c>
      <c r="K66" s="8" t="s">
        <v>16</v>
      </c>
      <c r="L66" s="8" t="s">
        <v>252</v>
      </c>
      <c r="M66" s="5" t="s">
        <v>234</v>
      </c>
      <c r="N66" s="5" t="s">
        <v>372</v>
      </c>
      <c r="O66" s="46" t="n">
        <v>3.5</v>
      </c>
      <c r="P66" s="26" t="s">
        <v>393</v>
      </c>
      <c r="Q66" s="5" t="s">
        <v>9</v>
      </c>
      <c r="R66" s="8" t="n">
        <f aca="false">IF($B66="","",ROUND(($Q$3-$B66)/30,1))</f>
        <v>-1537.4</v>
      </c>
      <c r="S66" s="8" t="str">
        <f aca="false">IF(OR($M66="",$R66=""),"",IF($M66="Jantan",IF($R66&lt;=3,"Cempe Lahir",IF($R66&lt;=6,"Cempe Sapih",IF($R66&lt;=12,"Bakalan","Jantan Siap Kawin"))),IF($M66="Betina",IF($R66&lt;=3,"Cempe Lahir",IF($R66&lt;=6,"Cempe Sapih",IF($R66&lt;=8,"Dara","Betina Siap Kawin"))),"")))</f>
        <v>Cempe Lahir</v>
      </c>
      <c r="T66" s="42" t="n">
        <v>1250000</v>
      </c>
      <c r="U66" s="6" t="s">
        <v>374</v>
      </c>
      <c r="V66" s="8" t="s">
        <v>87</v>
      </c>
      <c r="W66" s="26" t="s">
        <v>393</v>
      </c>
      <c r="X66" s="5"/>
      <c r="Y66" s="6" t="s">
        <v>376</v>
      </c>
      <c r="Z66" s="7" t="s">
        <v>496</v>
      </c>
      <c r="AA66" s="26" t="s">
        <v>503</v>
      </c>
    </row>
    <row r="67" customFormat="false" ht="15" hidden="false" customHeight="true" outlineLevel="0" collapsed="false">
      <c r="A67" s="26" t="n">
        <v>62</v>
      </c>
      <c r="B67" s="39" t="n">
        <v>46123</v>
      </c>
      <c r="C67" s="16" t="s">
        <v>504</v>
      </c>
      <c r="D67" s="5" t="s">
        <v>504</v>
      </c>
      <c r="E67" s="5" t="s">
        <v>505</v>
      </c>
      <c r="F67" s="5" t="s">
        <v>504</v>
      </c>
      <c r="G67" s="26" t="n">
        <v>1</v>
      </c>
      <c r="H67" s="5" t="s">
        <v>319</v>
      </c>
      <c r="I67" s="8" t="s">
        <v>319</v>
      </c>
      <c r="J67" s="5" t="s">
        <v>302</v>
      </c>
      <c r="K67" s="8" t="s">
        <v>15</v>
      </c>
      <c r="L67" s="8" t="s">
        <v>233</v>
      </c>
      <c r="M67" s="5" t="s">
        <v>383</v>
      </c>
      <c r="N67" s="5" t="s">
        <v>372</v>
      </c>
      <c r="O67" s="46" t="n">
        <v>4.5</v>
      </c>
      <c r="P67" s="26" t="s">
        <v>393</v>
      </c>
      <c r="Q67" s="5" t="s">
        <v>373</v>
      </c>
      <c r="R67" s="8" t="n">
        <f aca="false">IF($B67="","",ROUND(($Q$3-$B67)/30,1))</f>
        <v>-1537.4</v>
      </c>
      <c r="S67" s="8" t="str">
        <f aca="false">IF(OR($M67="",$R67=""),"",IF($M67="Jantan",IF($R67&lt;=3,"Cempe Lahir",IF($R67&lt;=6,"Cempe Sapih",IF($R67&lt;=12,"Bakalan","Jantan Siap Kawin"))),IF($M67="Betina",IF($R67&lt;=3,"Cempe Lahir",IF($R67&lt;=6,"Cempe Sapih",IF($R67&lt;=8,"Dara","Betina Siap Kawin"))),"")))</f>
        <v>Cempe Lahir</v>
      </c>
      <c r="T67" s="42" t="n">
        <v>1250000</v>
      </c>
      <c r="U67" s="6" t="s">
        <v>380</v>
      </c>
      <c r="V67" s="9" t="s">
        <v>92</v>
      </c>
      <c r="W67" s="26" t="s">
        <v>375</v>
      </c>
      <c r="X67" s="6"/>
      <c r="Y67" s="7" t="s">
        <v>426</v>
      </c>
      <c r="Z67" s="7" t="s">
        <v>496</v>
      </c>
      <c r="AA67" s="26" t="s">
        <v>506</v>
      </c>
    </row>
    <row r="68" customFormat="false" ht="15" hidden="false" customHeight="true" outlineLevel="0" collapsed="false">
      <c r="A68" s="26" t="n">
        <v>63</v>
      </c>
      <c r="B68" s="39" t="n">
        <v>46123</v>
      </c>
      <c r="C68" s="16" t="s">
        <v>355</v>
      </c>
      <c r="D68" s="5" t="s">
        <v>323</v>
      </c>
      <c r="E68" s="5" t="s">
        <v>507</v>
      </c>
      <c r="F68" s="5" t="s">
        <v>323</v>
      </c>
      <c r="G68" s="26" t="n">
        <v>1</v>
      </c>
      <c r="H68" s="7" t="s">
        <v>352</v>
      </c>
      <c r="I68" s="8" t="s">
        <v>352</v>
      </c>
      <c r="J68" s="5" t="s">
        <v>353</v>
      </c>
      <c r="K68" s="8" t="s">
        <v>132</v>
      </c>
      <c r="L68" s="8" t="s">
        <v>354</v>
      </c>
      <c r="M68" s="5" t="s">
        <v>383</v>
      </c>
      <c r="N68" s="5" t="s">
        <v>372</v>
      </c>
      <c r="O68" s="46" t="n">
        <v>4.5</v>
      </c>
      <c r="P68" s="26" t="s">
        <v>393</v>
      </c>
      <c r="Q68" s="5" t="s">
        <v>373</v>
      </c>
      <c r="R68" s="8" t="n">
        <f aca="false">IF($B68="","",ROUND(($Q$3-$B68)/30,1))</f>
        <v>-1537.4</v>
      </c>
      <c r="S68" s="8" t="str">
        <f aca="false">IF(OR($M68="",$R68=""),"",IF($M68="Jantan",IF($R68&lt;=3,"Cempe Lahir",IF($R68&lt;=6,"Cempe Sapih",IF($R68&lt;=12,"Bakalan","Jantan Siap Kawin"))),IF($M68="Betina",IF($R68&lt;=3,"Cempe Lahir",IF($R68&lt;=6,"Cempe Sapih",IF($R68&lt;=8,"Dara","Betina Siap Kawin"))),"")))</f>
        <v>Cempe Lahir</v>
      </c>
      <c r="T68" s="42" t="n">
        <v>1250000</v>
      </c>
      <c r="U68" s="6" t="s">
        <v>384</v>
      </c>
      <c r="V68" s="9" t="s">
        <v>92</v>
      </c>
      <c r="W68" s="26" t="s">
        <v>375</v>
      </c>
      <c r="X68" s="6"/>
      <c r="Y68" s="7" t="s">
        <v>426</v>
      </c>
      <c r="Z68" s="7" t="s">
        <v>496</v>
      </c>
      <c r="AA68" s="26" t="s">
        <v>508</v>
      </c>
    </row>
    <row r="69" customFormat="false" ht="15" hidden="false" customHeight="true" outlineLevel="0" collapsed="false">
      <c r="A69" s="26" t="n">
        <v>64</v>
      </c>
      <c r="B69" s="39" t="n">
        <v>46123</v>
      </c>
      <c r="C69" s="16" t="s">
        <v>509</v>
      </c>
      <c r="D69" s="5" t="s">
        <v>509</v>
      </c>
      <c r="E69" s="5" t="s">
        <v>510</v>
      </c>
      <c r="F69" s="5" t="s">
        <v>509</v>
      </c>
      <c r="G69" s="26" t="n">
        <v>2</v>
      </c>
      <c r="H69" s="5" t="s">
        <v>328</v>
      </c>
      <c r="I69" s="8" t="s">
        <v>328</v>
      </c>
      <c r="J69" s="5" t="s">
        <v>329</v>
      </c>
      <c r="K69" s="8" t="s">
        <v>15</v>
      </c>
      <c r="L69" s="8" t="s">
        <v>233</v>
      </c>
      <c r="M69" s="5" t="s">
        <v>383</v>
      </c>
      <c r="N69" s="5" t="s">
        <v>372</v>
      </c>
      <c r="O69" s="46" t="n">
        <v>3.5</v>
      </c>
      <c r="P69" s="26" t="s">
        <v>393</v>
      </c>
      <c r="Q69" s="5" t="s">
        <v>373</v>
      </c>
      <c r="R69" s="8" t="n">
        <f aca="false">IF($B69="","",ROUND(($Q$3-$B69)/30,1))</f>
        <v>-1537.4</v>
      </c>
      <c r="S69" s="8" t="str">
        <f aca="false">IF(OR($M69="",$R69=""),"",IF($M69="Jantan",IF($R69&lt;=3,"Cempe Lahir",IF($R69&lt;=6,"Cempe Sapih",IF($R69&lt;=12,"Bakalan","Jantan Siap Kawin"))),IF($M69="Betina",IF($R69&lt;=3,"Cempe Lahir",IF($R69&lt;=6,"Cempe Sapih",IF($R69&lt;=8,"Dara","Betina Siap Kawin"))),"")))</f>
        <v>Cempe Lahir</v>
      </c>
      <c r="T69" s="42" t="n">
        <v>1250000</v>
      </c>
      <c r="U69" s="6" t="s">
        <v>386</v>
      </c>
      <c r="V69" s="9" t="s">
        <v>92</v>
      </c>
      <c r="W69" s="26" t="s">
        <v>375</v>
      </c>
      <c r="X69" s="6"/>
      <c r="Y69" s="7" t="s">
        <v>426</v>
      </c>
      <c r="Z69" s="7" t="s">
        <v>496</v>
      </c>
      <c r="AA69" s="26" t="s">
        <v>511</v>
      </c>
    </row>
    <row r="70" customFormat="false" ht="15" hidden="false" customHeight="true" outlineLevel="0" collapsed="false">
      <c r="A70" s="26" t="n">
        <v>65</v>
      </c>
      <c r="B70" s="39" t="n">
        <v>46123</v>
      </c>
      <c r="C70" s="16" t="s">
        <v>512</v>
      </c>
      <c r="D70" s="5" t="s">
        <v>512</v>
      </c>
      <c r="E70" s="5" t="s">
        <v>513</v>
      </c>
      <c r="F70" s="5" t="s">
        <v>512</v>
      </c>
      <c r="G70" s="26" t="n">
        <v>2</v>
      </c>
      <c r="H70" s="5" t="s">
        <v>328</v>
      </c>
      <c r="I70" s="8" t="s">
        <v>328</v>
      </c>
      <c r="J70" s="5" t="s">
        <v>329</v>
      </c>
      <c r="K70" s="8" t="s">
        <v>15</v>
      </c>
      <c r="L70" s="8" t="s">
        <v>233</v>
      </c>
      <c r="M70" s="5" t="s">
        <v>383</v>
      </c>
      <c r="N70" s="5" t="s">
        <v>372</v>
      </c>
      <c r="O70" s="46" t="n">
        <v>3.5</v>
      </c>
      <c r="P70" s="26" t="s">
        <v>393</v>
      </c>
      <c r="Q70" s="5" t="s">
        <v>373</v>
      </c>
      <c r="R70" s="8" t="n">
        <f aca="false">IF($B70="","",ROUND(($Q$3-$B70)/30,1))</f>
        <v>-1537.4</v>
      </c>
      <c r="S70" s="8" t="str">
        <f aca="false">IF(OR($M70="",$R70=""),"",IF($M70="Jantan",IF($R70&lt;=3,"Cempe Lahir",IF($R70&lt;=6,"Cempe Sapih",IF($R70&lt;=12,"Bakalan","Jantan Siap Kawin"))),IF($M70="Betina",IF($R70&lt;=3,"Cempe Lahir",IF($R70&lt;=6,"Cempe Sapih",IF($R70&lt;=8,"Dara","Betina Siap Kawin"))),"")))</f>
        <v>Cempe Lahir</v>
      </c>
      <c r="T70" s="42" t="n">
        <v>1250000</v>
      </c>
      <c r="U70" s="6" t="s">
        <v>374</v>
      </c>
      <c r="V70" s="9" t="s">
        <v>92</v>
      </c>
      <c r="W70" s="26" t="s">
        <v>375</v>
      </c>
      <c r="X70" s="6"/>
      <c r="Y70" s="7" t="s">
        <v>426</v>
      </c>
      <c r="Z70" s="7" t="s">
        <v>496</v>
      </c>
      <c r="AA70" s="26" t="s">
        <v>514</v>
      </c>
    </row>
    <row r="71" customFormat="false" ht="15" hidden="false" customHeight="true" outlineLevel="0" collapsed="false">
      <c r="A71" s="26" t="n">
        <v>66</v>
      </c>
      <c r="B71" s="39" t="n">
        <v>46124</v>
      </c>
      <c r="C71" s="16" t="s">
        <v>515</v>
      </c>
      <c r="D71" s="5" t="s">
        <v>515</v>
      </c>
      <c r="E71" s="5" t="s">
        <v>516</v>
      </c>
      <c r="F71" s="5" t="s">
        <v>515</v>
      </c>
      <c r="G71" s="26" t="n">
        <v>2</v>
      </c>
      <c r="H71" s="5" t="s">
        <v>268</v>
      </c>
      <c r="I71" s="8" t="s">
        <v>268</v>
      </c>
      <c r="J71" s="5" t="s">
        <v>16</v>
      </c>
      <c r="K71" s="8" t="s">
        <v>18</v>
      </c>
      <c r="L71" s="8" t="s">
        <v>410</v>
      </c>
      <c r="M71" s="5" t="s">
        <v>234</v>
      </c>
      <c r="N71" s="5" t="s">
        <v>372</v>
      </c>
      <c r="O71" s="45" t="n">
        <v>2.9</v>
      </c>
      <c r="P71" s="26"/>
      <c r="Q71" s="5" t="s">
        <v>5</v>
      </c>
      <c r="R71" s="8" t="n">
        <f aca="false">IF($B71="","",ROUND(($Q$3-$B71)/30,1))</f>
        <v>-1537.5</v>
      </c>
      <c r="S71" s="8" t="str">
        <f aca="false">IF(OR($M71="",$R71=""),"",IF($M71="Jantan",IF($R71&lt;=3,"Cempe Lahir",IF($R71&lt;=6,"Cempe Sapih",IF($R71&lt;=12,"Bakalan","Jantan Siap Kawin"))),IF($M71="Betina",IF($R71&lt;=3,"Cempe Lahir",IF($R71&lt;=6,"Cempe Sapih",IF($R71&lt;=8,"Dara","Betina Siap Kawin"))),"")))</f>
        <v>Cempe Lahir</v>
      </c>
      <c r="T71" s="42" t="n">
        <v>1250000</v>
      </c>
      <c r="U71" s="6" t="s">
        <v>380</v>
      </c>
      <c r="V71" s="8" t="s">
        <v>89</v>
      </c>
      <c r="W71" s="26" t="s">
        <v>393</v>
      </c>
      <c r="X71" s="5"/>
      <c r="Y71" s="26" t="s">
        <v>381</v>
      </c>
      <c r="Z71" s="26" t="s">
        <v>517</v>
      </c>
      <c r="AA71" s="26" t="s">
        <v>517</v>
      </c>
    </row>
    <row r="72" customFormat="false" ht="15" hidden="false" customHeight="true" outlineLevel="0" collapsed="false">
      <c r="A72" s="26" t="n">
        <v>67</v>
      </c>
      <c r="B72" s="39" t="n">
        <v>46124</v>
      </c>
      <c r="C72" s="16" t="s">
        <v>518</v>
      </c>
      <c r="D72" s="5" t="s">
        <v>518</v>
      </c>
      <c r="E72" s="5" t="s">
        <v>519</v>
      </c>
      <c r="F72" s="5" t="s">
        <v>518</v>
      </c>
      <c r="G72" s="26" t="n">
        <v>2</v>
      </c>
      <c r="H72" s="5" t="s">
        <v>268</v>
      </c>
      <c r="I72" s="8" t="s">
        <v>268</v>
      </c>
      <c r="J72" s="5" t="s">
        <v>16</v>
      </c>
      <c r="K72" s="8" t="s">
        <v>18</v>
      </c>
      <c r="L72" s="8" t="s">
        <v>410</v>
      </c>
      <c r="M72" s="5" t="s">
        <v>383</v>
      </c>
      <c r="N72" s="5" t="s">
        <v>372</v>
      </c>
      <c r="O72" s="45" t="n">
        <v>3.05</v>
      </c>
      <c r="P72" s="26"/>
      <c r="Q72" s="5" t="s">
        <v>5</v>
      </c>
      <c r="R72" s="8" t="n">
        <f aca="false">IF($B72="","",ROUND(($Q$3-$B72)/30,1))</f>
        <v>-1537.5</v>
      </c>
      <c r="S72" s="8" t="str">
        <f aca="false">IF(OR($M72="",$R72=""),"",IF($M72="Jantan",IF($R72&lt;=3,"Cempe Lahir",IF($R72&lt;=6,"Cempe Sapih",IF($R72&lt;=12,"Bakalan","Jantan Siap Kawin"))),IF($M72="Betina",IF($R72&lt;=3,"Cempe Lahir",IF($R72&lt;=6,"Cempe Sapih",IF($R72&lt;=8,"Dara","Betina Siap Kawin"))),"")))</f>
        <v>Cempe Lahir</v>
      </c>
      <c r="T72" s="42" t="n">
        <v>1250000</v>
      </c>
      <c r="U72" s="6" t="s">
        <v>384</v>
      </c>
      <c r="V72" s="8" t="s">
        <v>89</v>
      </c>
      <c r="W72" s="26" t="s">
        <v>393</v>
      </c>
      <c r="X72" s="5"/>
      <c r="Y72" s="26" t="s">
        <v>381</v>
      </c>
      <c r="Z72" s="26" t="s">
        <v>520</v>
      </c>
      <c r="AA72" s="26" t="s">
        <v>520</v>
      </c>
    </row>
    <row r="73" customFormat="false" ht="15" hidden="false" customHeight="true" outlineLevel="0" collapsed="false">
      <c r="A73" s="26" t="n">
        <v>68</v>
      </c>
      <c r="B73" s="39" t="n">
        <v>46126</v>
      </c>
      <c r="C73" s="16" t="s">
        <v>521</v>
      </c>
      <c r="D73" s="5" t="s">
        <v>521</v>
      </c>
      <c r="E73" s="5" t="s">
        <v>522</v>
      </c>
      <c r="F73" s="5" t="s">
        <v>521</v>
      </c>
      <c r="G73" s="26" t="n">
        <v>1</v>
      </c>
      <c r="H73" s="5" t="s">
        <v>276</v>
      </c>
      <c r="I73" s="8" t="s">
        <v>276</v>
      </c>
      <c r="J73" s="5" t="s">
        <v>16</v>
      </c>
      <c r="K73" s="8" t="s">
        <v>18</v>
      </c>
      <c r="L73" s="8" t="s">
        <v>410</v>
      </c>
      <c r="M73" s="5" t="s">
        <v>383</v>
      </c>
      <c r="N73" s="5" t="s">
        <v>372</v>
      </c>
      <c r="O73" s="46" t="n">
        <v>4.5</v>
      </c>
      <c r="P73" s="26" t="s">
        <v>393</v>
      </c>
      <c r="Q73" s="5" t="s">
        <v>5</v>
      </c>
      <c r="R73" s="8" t="n">
        <f aca="false">IF($B73="","",ROUND(($Q$3-$B73)/30,1))</f>
        <v>-1537.5</v>
      </c>
      <c r="S73" s="8" t="str">
        <f aca="false">IF(OR($M73="",$R73=""),"",IF($M73="Jantan",IF($R73&lt;=3,"Cempe Lahir",IF($R73&lt;=6,"Cempe Sapih",IF($R73&lt;=12,"Bakalan","Jantan Siap Kawin"))),IF($M73="Betina",IF($R73&lt;=3,"Cempe Lahir",IF($R73&lt;=6,"Cempe Sapih",IF($R73&lt;=8,"Dara","Betina Siap Kawin"))),"")))</f>
        <v>Cempe Lahir</v>
      </c>
      <c r="T73" s="42" t="n">
        <v>1250000</v>
      </c>
      <c r="U73" s="6" t="s">
        <v>386</v>
      </c>
      <c r="V73" s="8" t="s">
        <v>89</v>
      </c>
      <c r="W73" s="26" t="s">
        <v>375</v>
      </c>
      <c r="X73" s="5"/>
      <c r="Y73" s="7" t="s">
        <v>426</v>
      </c>
      <c r="Z73" s="7" t="s">
        <v>496</v>
      </c>
      <c r="AA73" s="26" t="s">
        <v>523</v>
      </c>
    </row>
    <row r="74" customFormat="false" ht="15" hidden="false" customHeight="true" outlineLevel="0" collapsed="false">
      <c r="A74" s="26" t="n">
        <v>69</v>
      </c>
      <c r="B74" s="39" t="n">
        <v>46133</v>
      </c>
      <c r="C74" s="16" t="s">
        <v>524</v>
      </c>
      <c r="D74" s="5" t="s">
        <v>524</v>
      </c>
      <c r="E74" s="5" t="s">
        <v>525</v>
      </c>
      <c r="F74" s="5" t="s">
        <v>524</v>
      </c>
      <c r="G74" s="26" t="n">
        <v>2</v>
      </c>
      <c r="H74" s="5" t="s">
        <v>287</v>
      </c>
      <c r="I74" s="8" t="s">
        <v>286</v>
      </c>
      <c r="J74" s="5" t="s">
        <v>16</v>
      </c>
      <c r="K74" s="8" t="s">
        <v>18</v>
      </c>
      <c r="L74" s="8" t="s">
        <v>410</v>
      </c>
      <c r="M74" s="5" t="s">
        <v>383</v>
      </c>
      <c r="N74" s="5" t="s">
        <v>372</v>
      </c>
      <c r="O74" s="45" t="n">
        <v>3.5</v>
      </c>
      <c r="P74" s="26"/>
      <c r="Q74" s="5" t="s">
        <v>7</v>
      </c>
      <c r="R74" s="8" t="n">
        <f aca="false">IF($B74="","",ROUND(($Q$3-$B74)/30,1))</f>
        <v>-1537.8</v>
      </c>
      <c r="S74" s="8" t="str">
        <f aca="false">IF(OR($M74="",$R74=""),"",IF($M74="Jantan",IF($R74&lt;=3,"Cempe Lahir",IF($R74&lt;=6,"Cempe Sapih",IF($R74&lt;=12,"Bakalan","Jantan Siap Kawin"))),IF($M74="Betina",IF($R74&lt;=3,"Cempe Lahir",IF($R74&lt;=6,"Cempe Sapih",IF($R74&lt;=8,"Dara","Betina Siap Kawin"))),"")))</f>
        <v>Cempe Lahir</v>
      </c>
      <c r="T74" s="42" t="n">
        <v>750000</v>
      </c>
      <c r="U74" s="6" t="s">
        <v>249</v>
      </c>
      <c r="V74" s="8" t="s">
        <v>90</v>
      </c>
      <c r="W74" s="26" t="s">
        <v>393</v>
      </c>
      <c r="X74" s="5"/>
      <c r="Y74" s="26" t="s">
        <v>381</v>
      </c>
      <c r="Z74" s="26" t="s">
        <v>526</v>
      </c>
      <c r="AA74" s="26" t="s">
        <v>526</v>
      </c>
    </row>
    <row r="75" customFormat="false" ht="15" hidden="false" customHeight="true" outlineLevel="0" collapsed="false">
      <c r="A75" s="26" t="n">
        <v>70</v>
      </c>
      <c r="B75" s="39" t="n">
        <v>46133</v>
      </c>
      <c r="C75" s="16" t="s">
        <v>527</v>
      </c>
      <c r="D75" s="5" t="s">
        <v>527</v>
      </c>
      <c r="E75" s="5" t="s">
        <v>528</v>
      </c>
      <c r="F75" s="5" t="s">
        <v>527</v>
      </c>
      <c r="G75" s="26" t="n">
        <v>2</v>
      </c>
      <c r="H75" s="5" t="s">
        <v>287</v>
      </c>
      <c r="I75" s="8" t="s">
        <v>286</v>
      </c>
      <c r="J75" s="5" t="s">
        <v>16</v>
      </c>
      <c r="K75" s="8" t="s">
        <v>18</v>
      </c>
      <c r="L75" s="8" t="s">
        <v>410</v>
      </c>
      <c r="M75" s="5" t="s">
        <v>383</v>
      </c>
      <c r="N75" s="5" t="s">
        <v>372</v>
      </c>
      <c r="O75" s="45" t="n">
        <v>3.5</v>
      </c>
      <c r="P75" s="26"/>
      <c r="Q75" s="5" t="s">
        <v>7</v>
      </c>
      <c r="R75" s="8" t="n">
        <f aca="false">IF($B75="","",ROUND(($Q$3-$B75)/30,1))</f>
        <v>-1537.8</v>
      </c>
      <c r="S75" s="8" t="str">
        <f aca="false">IF(OR($M75="",$R75=""),"",IF($M75="Jantan",IF($R75&lt;=3,"Cempe Lahir",IF($R75&lt;=6,"Cempe Sapih",IF($R75&lt;=12,"Bakalan","Jantan Siap Kawin"))),IF($M75="Betina",IF($R75&lt;=3,"Cempe Lahir",IF($R75&lt;=6,"Cempe Sapih",IF($R75&lt;=8,"Dara","Betina Siap Kawin"))),"")))</f>
        <v>Cempe Lahir</v>
      </c>
      <c r="T75" s="42" t="n">
        <v>750000</v>
      </c>
      <c r="U75" s="6" t="s">
        <v>249</v>
      </c>
      <c r="V75" s="8" t="s">
        <v>90</v>
      </c>
      <c r="W75" s="26" t="s">
        <v>393</v>
      </c>
      <c r="X75" s="5"/>
      <c r="Y75" s="26" t="s">
        <v>381</v>
      </c>
      <c r="Z75" s="26" t="s">
        <v>529</v>
      </c>
      <c r="AA75" s="26" t="s">
        <v>529</v>
      </c>
    </row>
    <row r="76" customFormat="false" ht="15" hidden="false" customHeight="true" outlineLevel="0" collapsed="false">
      <c r="A76" s="26" t="n">
        <v>71</v>
      </c>
      <c r="B76" s="39" t="n">
        <v>46135</v>
      </c>
      <c r="C76" s="16" t="s">
        <v>530</v>
      </c>
      <c r="D76" s="5" t="s">
        <v>530</v>
      </c>
      <c r="E76" s="5" t="s">
        <v>531</v>
      </c>
      <c r="F76" s="5" t="s">
        <v>530</v>
      </c>
      <c r="G76" s="26" t="n">
        <v>2</v>
      </c>
      <c r="H76" s="5" t="s">
        <v>266</v>
      </c>
      <c r="I76" s="8" t="s">
        <v>266</v>
      </c>
      <c r="J76" s="5" t="s">
        <v>16</v>
      </c>
      <c r="K76" s="8" t="s">
        <v>18</v>
      </c>
      <c r="L76" s="8" t="s">
        <v>410</v>
      </c>
      <c r="M76" s="5" t="s">
        <v>234</v>
      </c>
      <c r="N76" s="5" t="s">
        <v>372</v>
      </c>
      <c r="O76" s="45" t="n">
        <v>2.35</v>
      </c>
      <c r="P76" s="26"/>
      <c r="Q76" s="5" t="s">
        <v>5</v>
      </c>
      <c r="R76" s="8" t="n">
        <f aca="false">IF($B76="","",ROUND(($Q$3-$B76)/30,1))</f>
        <v>-1537.8</v>
      </c>
      <c r="S76" s="8" t="str">
        <f aca="false">IF(OR($M76="",$R76=""),"",IF($M76="Jantan",IF($R76&lt;=3,"Cempe Lahir",IF($R76&lt;=6,"Cempe Sapih",IF($R76&lt;=12,"Bakalan","Jantan Siap Kawin"))),IF($M76="Betina",IF($R76&lt;=3,"Cempe Lahir",IF($R76&lt;=6,"Cempe Sapih",IF($R76&lt;=8,"Dara","Betina Siap Kawin"))),"")))</f>
        <v>Cempe Lahir</v>
      </c>
      <c r="T76" s="42" t="n">
        <v>750000</v>
      </c>
      <c r="U76" s="6" t="s">
        <v>249</v>
      </c>
      <c r="V76" s="8" t="s">
        <v>89</v>
      </c>
      <c r="W76" s="26" t="s">
        <v>393</v>
      </c>
      <c r="X76" s="5"/>
      <c r="Y76" s="26" t="s">
        <v>381</v>
      </c>
      <c r="Z76" s="26" t="s">
        <v>532</v>
      </c>
      <c r="AA76" s="26" t="s">
        <v>532</v>
      </c>
    </row>
    <row r="77" customFormat="false" ht="15" hidden="false" customHeight="true" outlineLevel="0" collapsed="false">
      <c r="A77" s="26" t="n">
        <v>72</v>
      </c>
      <c r="B77" s="39" t="n">
        <v>46135</v>
      </c>
      <c r="C77" s="16" t="s">
        <v>533</v>
      </c>
      <c r="D77" s="5" t="s">
        <v>533</v>
      </c>
      <c r="E77" s="5" t="s">
        <v>534</v>
      </c>
      <c r="F77" s="5" t="s">
        <v>533</v>
      </c>
      <c r="G77" s="26" t="n">
        <v>2</v>
      </c>
      <c r="H77" s="5" t="s">
        <v>266</v>
      </c>
      <c r="I77" s="8" t="s">
        <v>266</v>
      </c>
      <c r="J77" s="5" t="s">
        <v>16</v>
      </c>
      <c r="K77" s="8" t="s">
        <v>18</v>
      </c>
      <c r="L77" s="8" t="s">
        <v>410</v>
      </c>
      <c r="M77" s="5" t="s">
        <v>234</v>
      </c>
      <c r="N77" s="5" t="s">
        <v>372</v>
      </c>
      <c r="O77" s="45" t="n">
        <v>3.1</v>
      </c>
      <c r="P77" s="26"/>
      <c r="Q77" s="5" t="s">
        <v>5</v>
      </c>
      <c r="R77" s="8" t="n">
        <f aca="false">IF($B77="","",ROUND(($Q$3-$B77)/30,1))</f>
        <v>-1537.8</v>
      </c>
      <c r="S77" s="8" t="str">
        <f aca="false">IF(OR($M77="",$R77=""),"",IF($M77="Jantan",IF($R77&lt;=3,"Cempe Lahir",IF($R77&lt;=6,"Cempe Sapih",IF($R77&lt;=12,"Bakalan","Jantan Siap Kawin"))),IF($M77="Betina",IF($R77&lt;=3,"Cempe Lahir",IF($R77&lt;=6,"Cempe Sapih",IF($R77&lt;=8,"Dara","Betina Siap Kawin"))),"")))</f>
        <v>Cempe Lahir</v>
      </c>
      <c r="T77" s="42" t="n">
        <v>750000</v>
      </c>
      <c r="U77" s="6" t="s">
        <v>249</v>
      </c>
      <c r="V77" s="8" t="s">
        <v>89</v>
      </c>
      <c r="W77" s="26" t="s">
        <v>393</v>
      </c>
      <c r="X77" s="5"/>
      <c r="Y77" s="26" t="s">
        <v>381</v>
      </c>
      <c r="Z77" s="26" t="s">
        <v>535</v>
      </c>
      <c r="AA77" s="26" t="s">
        <v>535</v>
      </c>
    </row>
    <row r="78" customFormat="false" ht="15" hidden="false" customHeight="true" outlineLevel="0" collapsed="false">
      <c r="A78" s="26" t="n">
        <v>73</v>
      </c>
      <c r="B78" s="39" t="n">
        <v>46136</v>
      </c>
      <c r="C78" s="16" t="s">
        <v>536</v>
      </c>
      <c r="D78" s="5" t="s">
        <v>536</v>
      </c>
      <c r="E78" s="5" t="s">
        <v>537</v>
      </c>
      <c r="F78" s="5" t="s">
        <v>536</v>
      </c>
      <c r="G78" s="26" t="n">
        <v>1</v>
      </c>
      <c r="H78" s="5" t="s">
        <v>336</v>
      </c>
      <c r="I78" s="8" t="s">
        <v>336</v>
      </c>
      <c r="J78" s="5" t="s">
        <v>302</v>
      </c>
      <c r="K78" s="8" t="s">
        <v>15</v>
      </c>
      <c r="L78" s="8" t="s">
        <v>233</v>
      </c>
      <c r="M78" s="5" t="s">
        <v>383</v>
      </c>
      <c r="N78" s="5" t="s">
        <v>372</v>
      </c>
      <c r="O78" s="45" t="n">
        <v>4.65</v>
      </c>
      <c r="P78" s="26"/>
      <c r="Q78" s="5" t="s">
        <v>373</v>
      </c>
      <c r="R78" s="8" t="n">
        <f aca="false">IF($B78="","",ROUND(($Q$3-$B78)/30,1))</f>
        <v>-1537.9</v>
      </c>
      <c r="S78" s="8" t="str">
        <f aca="false">IF(OR($M78="",$R78=""),"",IF($M78="Jantan",IF($R78&lt;=3,"Cempe Lahir",IF($R78&lt;=6,"Cempe Sapih",IF($R78&lt;=12,"Bakalan","Jantan Siap Kawin"))),IF($M78="Betina",IF($R78&lt;=3,"Cempe Lahir",IF($R78&lt;=6,"Cempe Sapih",IF($R78&lt;=8,"Dara","Betina Siap Kawin"))),"")))</f>
        <v>Cempe Lahir</v>
      </c>
      <c r="T78" s="42" t="n">
        <v>750000</v>
      </c>
      <c r="U78" s="6" t="s">
        <v>249</v>
      </c>
      <c r="V78" s="9" t="s">
        <v>92</v>
      </c>
      <c r="W78" s="26" t="s">
        <v>375</v>
      </c>
      <c r="X78" s="6"/>
      <c r="Y78" s="26" t="s">
        <v>381</v>
      </c>
      <c r="Z78" s="26" t="s">
        <v>538</v>
      </c>
      <c r="AA78" s="26" t="s">
        <v>538</v>
      </c>
    </row>
    <row r="79" customFormat="false" ht="15" hidden="false" customHeight="true" outlineLevel="0" collapsed="false">
      <c r="A79" s="26" t="n">
        <v>74</v>
      </c>
      <c r="B79" s="39" t="n">
        <v>46149</v>
      </c>
      <c r="C79" s="16" t="s">
        <v>539</v>
      </c>
      <c r="D79" s="5" t="s">
        <v>539</v>
      </c>
      <c r="E79" s="5" t="s">
        <v>539</v>
      </c>
      <c r="F79" s="6"/>
      <c r="G79" s="26" t="n">
        <v>1</v>
      </c>
      <c r="H79" s="5" t="s">
        <v>332</v>
      </c>
      <c r="I79" s="8" t="s">
        <v>332</v>
      </c>
      <c r="J79" s="5" t="s">
        <v>16</v>
      </c>
      <c r="K79" s="8" t="s">
        <v>18</v>
      </c>
      <c r="L79" s="8" t="s">
        <v>410</v>
      </c>
      <c r="M79" s="5" t="s">
        <v>234</v>
      </c>
      <c r="N79" s="5" t="s">
        <v>372</v>
      </c>
      <c r="O79" s="45" t="n">
        <v>5.4</v>
      </c>
      <c r="P79" s="26"/>
      <c r="Q79" s="5" t="s">
        <v>373</v>
      </c>
      <c r="R79" s="8" t="n">
        <f aca="false">IF($B79="","",ROUND(($Q$3-$B79)/30,1))</f>
        <v>-1538.3</v>
      </c>
      <c r="S79" s="8" t="str">
        <f aca="false">IF(OR($M79="",$R79=""),"",IF($M79="Jantan",IF($R79&lt;=3,"Cempe Lahir",IF($R79&lt;=6,"Cempe Sapih",IF($R79&lt;=12,"Bakalan","Jantan Siap Kawin"))),IF($M79="Betina",IF($R79&lt;=3,"Cempe Lahir",IF($R79&lt;=6,"Cempe Sapih",IF($R79&lt;=8,"Dara","Betina Siap Kawin"))),"")))</f>
        <v>Cempe Lahir</v>
      </c>
      <c r="T79" s="42" t="n">
        <v>750000</v>
      </c>
      <c r="U79" s="6" t="s">
        <v>249</v>
      </c>
      <c r="V79" s="9" t="s">
        <v>92</v>
      </c>
      <c r="W79" s="26" t="s">
        <v>375</v>
      </c>
      <c r="X79" s="6"/>
      <c r="Y79" s="26" t="s">
        <v>381</v>
      </c>
      <c r="Z79" s="26"/>
      <c r="AA79" s="26"/>
    </row>
    <row r="80" customFormat="false" ht="15" hidden="false" customHeight="true" outlineLevel="0" collapsed="false">
      <c r="A80" s="26" t="n">
        <v>75</v>
      </c>
      <c r="B80" s="39" t="n">
        <v>46149</v>
      </c>
      <c r="C80" s="16" t="s">
        <v>540</v>
      </c>
      <c r="D80" s="5" t="s">
        <v>540</v>
      </c>
      <c r="E80" s="5" t="s">
        <v>541</v>
      </c>
      <c r="F80" s="5" t="s">
        <v>540</v>
      </c>
      <c r="G80" s="26" t="n">
        <v>1</v>
      </c>
      <c r="H80" s="5" t="s">
        <v>299</v>
      </c>
      <c r="I80" s="8" t="s">
        <v>299</v>
      </c>
      <c r="J80" s="5" t="s">
        <v>15</v>
      </c>
      <c r="K80" s="8" t="s">
        <v>16</v>
      </c>
      <c r="L80" s="8" t="s">
        <v>252</v>
      </c>
      <c r="M80" s="5" t="s">
        <v>383</v>
      </c>
      <c r="N80" s="5" t="s">
        <v>372</v>
      </c>
      <c r="O80" s="45" t="n">
        <v>6.05</v>
      </c>
      <c r="P80" s="26"/>
      <c r="Q80" s="5" t="s">
        <v>440</v>
      </c>
      <c r="R80" s="8" t="n">
        <f aca="false">IF($B80="","",ROUND(($Q$3-$B80)/30,1))</f>
        <v>-1538.3</v>
      </c>
      <c r="S80" s="8" t="str">
        <f aca="false">IF(OR($M80="",$R80=""),"",IF($M80="Jantan",IF($R80&lt;=3,"Cempe Lahir",IF($R80&lt;=6,"Cempe Sapih",IF($R80&lt;=12,"Bakalan","Jantan Siap Kawin"))),IF($M80="Betina",IF($R80&lt;=3,"Cempe Lahir",IF($R80&lt;=6,"Cempe Sapih",IF($R80&lt;=8,"Dara","Betina Siap Kawin"))),"")))</f>
        <v>Cempe Lahir</v>
      </c>
      <c r="T80" s="42" t="n">
        <v>750000</v>
      </c>
      <c r="U80" s="6" t="s">
        <v>249</v>
      </c>
      <c r="V80" s="8" t="s">
        <v>91</v>
      </c>
      <c r="W80" s="26" t="s">
        <v>375</v>
      </c>
      <c r="X80" s="5"/>
      <c r="Y80" s="26" t="s">
        <v>381</v>
      </c>
      <c r="Z80" s="26"/>
      <c r="AA80" s="26"/>
    </row>
    <row r="81" customFormat="false" ht="15" hidden="false" customHeight="true" outlineLevel="0" collapsed="false">
      <c r="A81" s="26" t="n">
        <v>76</v>
      </c>
      <c r="B81" s="39" t="n">
        <v>46151</v>
      </c>
      <c r="C81" s="16" t="s">
        <v>542</v>
      </c>
      <c r="D81" s="5" t="s">
        <v>542</v>
      </c>
      <c r="E81" s="5" t="s">
        <v>543</v>
      </c>
      <c r="F81" s="5" t="s">
        <v>542</v>
      </c>
      <c r="G81" s="26" t="n">
        <v>1</v>
      </c>
      <c r="H81" s="5" t="s">
        <v>331</v>
      </c>
      <c r="I81" s="8" t="s">
        <v>331</v>
      </c>
      <c r="J81" s="5" t="s">
        <v>302</v>
      </c>
      <c r="K81" s="8" t="s">
        <v>15</v>
      </c>
      <c r="L81" s="8" t="s">
        <v>233</v>
      </c>
      <c r="M81" s="5" t="s">
        <v>383</v>
      </c>
      <c r="N81" s="5" t="s">
        <v>372</v>
      </c>
      <c r="O81" s="45" t="n">
        <v>4.9</v>
      </c>
      <c r="P81" s="26"/>
      <c r="Q81" s="5" t="s">
        <v>373</v>
      </c>
      <c r="R81" s="8" t="n">
        <f aca="false">IF($B81="","",ROUND(($Q$3-$B81)/30,1))</f>
        <v>-1538.4</v>
      </c>
      <c r="S81" s="8" t="str">
        <f aca="false">IF(OR($M81="",$R81=""),"",IF($M81="Jantan",IF($R81&lt;=3,"Cempe Lahir",IF($R81&lt;=6,"Cempe Sapih",IF($R81&lt;=12,"Bakalan","Jantan Siap Kawin"))),IF($M81="Betina",IF($R81&lt;=3,"Cempe Lahir",IF($R81&lt;=6,"Cempe Sapih",IF($R81&lt;=8,"Dara","Betina Siap Kawin"))),"")))</f>
        <v>Cempe Lahir</v>
      </c>
      <c r="T81" s="42" t="n">
        <v>750000</v>
      </c>
      <c r="U81" s="6" t="s">
        <v>249</v>
      </c>
      <c r="V81" s="9" t="s">
        <v>92</v>
      </c>
      <c r="W81" s="26" t="s">
        <v>375</v>
      </c>
      <c r="X81" s="6"/>
      <c r="Y81" s="26" t="s">
        <v>381</v>
      </c>
      <c r="Z81" s="26"/>
      <c r="AA81" s="26"/>
    </row>
    <row r="82" customFormat="false" ht="15" hidden="false" customHeight="true" outlineLevel="0" collapsed="false">
      <c r="A82" s="26" t="n">
        <v>77</v>
      </c>
      <c r="B82" s="39" t="n">
        <v>46153</v>
      </c>
      <c r="C82" s="16" t="s">
        <v>544</v>
      </c>
      <c r="D82" s="5" t="s">
        <v>544</v>
      </c>
      <c r="E82" s="5" t="s">
        <v>545</v>
      </c>
      <c r="F82" s="5" t="s">
        <v>544</v>
      </c>
      <c r="G82" s="26" t="n">
        <v>1</v>
      </c>
      <c r="H82" s="5" t="s">
        <v>289</v>
      </c>
      <c r="I82" s="8" t="s">
        <v>289</v>
      </c>
      <c r="J82" s="5" t="s">
        <v>16</v>
      </c>
      <c r="K82" s="8" t="s">
        <v>18</v>
      </c>
      <c r="L82" s="8" t="s">
        <v>410</v>
      </c>
      <c r="M82" s="5" t="s">
        <v>383</v>
      </c>
      <c r="N82" s="5" t="s">
        <v>372</v>
      </c>
      <c r="O82" s="45" t="n">
        <v>5.95</v>
      </c>
      <c r="P82" s="26"/>
      <c r="Q82" s="5" t="s">
        <v>7</v>
      </c>
      <c r="R82" s="8" t="n">
        <f aca="false">IF($B82="","",ROUND(($Q$3-$B82)/30,1))</f>
        <v>-1538.4</v>
      </c>
      <c r="S82" s="8" t="str">
        <f aca="false">IF(OR($M82="",$R82=""),"",IF($M82="Jantan",IF($R82&lt;=3,"Cempe Lahir",IF($R82&lt;=6,"Cempe Sapih",IF($R82&lt;=12,"Bakalan","Jantan Siap Kawin"))),IF($M82="Betina",IF($R82&lt;=3,"Cempe Lahir",IF($R82&lt;=6,"Cempe Sapih",IF($R82&lt;=8,"Dara","Betina Siap Kawin"))),"")))</f>
        <v>Cempe Lahir</v>
      </c>
      <c r="T82" s="42" t="n">
        <v>750000</v>
      </c>
      <c r="U82" s="6" t="s">
        <v>249</v>
      </c>
      <c r="V82" s="8" t="s">
        <v>90</v>
      </c>
      <c r="W82" s="26" t="s">
        <v>375</v>
      </c>
      <c r="X82" s="5"/>
      <c r="Y82" s="26" t="s">
        <v>381</v>
      </c>
      <c r="Z82" s="26"/>
      <c r="AA82" s="26"/>
    </row>
    <row r="83" customFormat="false" ht="15" hidden="false" customHeight="true" outlineLevel="0" collapsed="false">
      <c r="A83" s="26" t="n">
        <v>78</v>
      </c>
      <c r="B83" s="39" t="n">
        <v>46160</v>
      </c>
      <c r="C83" s="16" t="s">
        <v>546</v>
      </c>
      <c r="D83" s="5" t="s">
        <v>287</v>
      </c>
      <c r="E83" s="5" t="s">
        <v>547</v>
      </c>
      <c r="F83" s="5" t="s">
        <v>287</v>
      </c>
      <c r="G83" s="26" t="n">
        <v>2</v>
      </c>
      <c r="H83" s="5" t="s">
        <v>174</v>
      </c>
      <c r="I83" s="8" t="s">
        <v>174</v>
      </c>
      <c r="J83" s="5" t="s">
        <v>302</v>
      </c>
      <c r="K83" s="8" t="s">
        <v>15</v>
      </c>
      <c r="L83" s="8" t="s">
        <v>233</v>
      </c>
      <c r="M83" s="5" t="s">
        <v>383</v>
      </c>
      <c r="N83" s="5" t="s">
        <v>372</v>
      </c>
      <c r="O83" s="45" t="n">
        <v>1.6</v>
      </c>
      <c r="P83" s="26"/>
      <c r="Q83" s="5" t="s">
        <v>373</v>
      </c>
      <c r="R83" s="8" t="n">
        <f aca="false">IF($B83="","",ROUND(($Q$3-$B83)/30,1))</f>
        <v>-1538.7</v>
      </c>
      <c r="S83" s="8" t="str">
        <f aca="false">IF(OR($M83="",$R83=""),"",IF($M83="Jantan",IF($R83&lt;=3,"Cempe Lahir",IF($R83&lt;=6,"Cempe Sapih",IF($R83&lt;=12,"Bakalan","Jantan Siap Kawin"))),IF($M83="Betina",IF($R83&lt;=3,"Cempe Lahir",IF($R83&lt;=6,"Cempe Sapih",IF($R83&lt;=8,"Dara","Betina Siap Kawin"))),"")))</f>
        <v>Cempe Lahir</v>
      </c>
      <c r="T83" s="42" t="n">
        <v>750000</v>
      </c>
      <c r="U83" s="6" t="s">
        <v>249</v>
      </c>
      <c r="V83" s="9" t="s">
        <v>92</v>
      </c>
      <c r="W83" s="26" t="s">
        <v>375</v>
      </c>
      <c r="X83" s="6"/>
      <c r="Y83" s="26" t="s">
        <v>381</v>
      </c>
      <c r="Z83" s="26" t="s">
        <v>481</v>
      </c>
      <c r="AA83" s="26" t="s">
        <v>481</v>
      </c>
    </row>
    <row r="84" customFormat="false" ht="15" hidden="false" customHeight="true" outlineLevel="0" collapsed="false">
      <c r="A84" s="26" t="n">
        <v>79</v>
      </c>
      <c r="B84" s="39" t="n">
        <v>46160</v>
      </c>
      <c r="C84" s="16" t="s">
        <v>548</v>
      </c>
      <c r="D84" s="5" t="s">
        <v>548</v>
      </c>
      <c r="E84" s="5" t="s">
        <v>549</v>
      </c>
      <c r="F84" s="5" t="s">
        <v>548</v>
      </c>
      <c r="G84" s="26" t="n">
        <v>2</v>
      </c>
      <c r="H84" s="5" t="s">
        <v>174</v>
      </c>
      <c r="I84" s="8" t="s">
        <v>174</v>
      </c>
      <c r="J84" s="5" t="s">
        <v>302</v>
      </c>
      <c r="K84" s="8" t="s">
        <v>15</v>
      </c>
      <c r="L84" s="8" t="s">
        <v>233</v>
      </c>
      <c r="M84" s="5" t="s">
        <v>234</v>
      </c>
      <c r="N84" s="5" t="s">
        <v>372</v>
      </c>
      <c r="O84" s="45" t="n">
        <v>2.3</v>
      </c>
      <c r="P84" s="26"/>
      <c r="Q84" s="5" t="s">
        <v>373</v>
      </c>
      <c r="R84" s="8" t="n">
        <f aca="false">IF($B84="","",ROUND(($Q$3-$B84)/30,1))</f>
        <v>-1538.7</v>
      </c>
      <c r="S84" s="8" t="str">
        <f aca="false">IF(OR($M84="",$R84=""),"",IF($M84="Jantan",IF($R84&lt;=3,"Cempe Lahir",IF($R84&lt;=6,"Cempe Sapih",IF($R84&lt;=12,"Bakalan","Jantan Siap Kawin"))),IF($M84="Betina",IF($R84&lt;=3,"Cempe Lahir",IF($R84&lt;=6,"Cempe Sapih",IF($R84&lt;=8,"Dara","Betina Siap Kawin"))),"")))</f>
        <v>Cempe Lahir</v>
      </c>
      <c r="T84" s="42" t="n">
        <v>750000</v>
      </c>
      <c r="U84" s="6" t="s">
        <v>249</v>
      </c>
      <c r="V84" s="9" t="s">
        <v>92</v>
      </c>
      <c r="W84" s="26" t="s">
        <v>375</v>
      </c>
      <c r="X84" s="6"/>
      <c r="Y84" s="26" t="s">
        <v>381</v>
      </c>
      <c r="Z84" s="26"/>
      <c r="AA84" s="26"/>
    </row>
    <row r="85" customFormat="false" ht="15" hidden="false" customHeight="true" outlineLevel="0" collapsed="false">
      <c r="A85" s="26" t="n">
        <v>80</v>
      </c>
      <c r="B85" s="39" t="n">
        <v>46161</v>
      </c>
      <c r="C85" s="16" t="s">
        <v>261</v>
      </c>
      <c r="D85" s="5" t="s">
        <v>261</v>
      </c>
      <c r="E85" s="5" t="s">
        <v>550</v>
      </c>
      <c r="F85" s="5" t="s">
        <v>261</v>
      </c>
      <c r="G85" s="26" t="n">
        <v>1</v>
      </c>
      <c r="H85" s="5" t="s">
        <v>333</v>
      </c>
      <c r="I85" s="8" t="s">
        <v>333</v>
      </c>
      <c r="J85" s="5" t="s">
        <v>302</v>
      </c>
      <c r="K85" s="8" t="s">
        <v>15</v>
      </c>
      <c r="L85" s="8" t="s">
        <v>233</v>
      </c>
      <c r="M85" s="5" t="s">
        <v>383</v>
      </c>
      <c r="N85" s="5" t="s">
        <v>372</v>
      </c>
      <c r="O85" s="45" t="n">
        <v>3.8</v>
      </c>
      <c r="P85" s="26"/>
      <c r="Q85" s="5" t="s">
        <v>373</v>
      </c>
      <c r="R85" s="8" t="n">
        <f aca="false">IF($B85="","",ROUND(($Q$3-$B85)/30,1))</f>
        <v>-1538.7</v>
      </c>
      <c r="S85" s="8" t="str">
        <f aca="false">IF(OR($M85="",$R85=""),"",IF($M85="Jantan",IF($R85&lt;=3,"Cempe Lahir",IF($R85&lt;=6,"Cempe Sapih",IF($R85&lt;=12,"Bakalan","Jantan Siap Kawin"))),IF($M85="Betina",IF($R85&lt;=3,"Cempe Lahir",IF($R85&lt;=6,"Cempe Sapih",IF($R85&lt;=8,"Dara","Betina Siap Kawin"))),"")))</f>
        <v>Cempe Lahir</v>
      </c>
      <c r="T85" s="42" t="n">
        <v>750000</v>
      </c>
      <c r="U85" s="6" t="s">
        <v>249</v>
      </c>
      <c r="V85" s="9" t="s">
        <v>92</v>
      </c>
      <c r="W85" s="26" t="s">
        <v>375</v>
      </c>
      <c r="X85" s="6"/>
      <c r="Y85" s="26" t="s">
        <v>381</v>
      </c>
      <c r="Z85" s="26"/>
      <c r="AA85" s="26"/>
    </row>
    <row r="86" customFormat="false" ht="15" hidden="false" customHeight="true" outlineLevel="0" collapsed="false">
      <c r="A86" s="26" t="n">
        <v>81</v>
      </c>
      <c r="B86" s="39" t="n">
        <v>46162</v>
      </c>
      <c r="C86" s="16" t="s">
        <v>551</v>
      </c>
      <c r="D86" s="5" t="s">
        <v>551</v>
      </c>
      <c r="E86" s="5" t="s">
        <v>552</v>
      </c>
      <c r="F86" s="5" t="s">
        <v>551</v>
      </c>
      <c r="G86" s="26" t="n">
        <v>1</v>
      </c>
      <c r="H86" s="5" t="s">
        <v>326</v>
      </c>
      <c r="I86" s="8" t="s">
        <v>326</v>
      </c>
      <c r="J86" s="5" t="s">
        <v>15</v>
      </c>
      <c r="K86" s="8" t="s">
        <v>16</v>
      </c>
      <c r="L86" s="8" t="s">
        <v>252</v>
      </c>
      <c r="M86" s="5" t="s">
        <v>383</v>
      </c>
      <c r="N86" s="5" t="s">
        <v>372</v>
      </c>
      <c r="O86" s="45" t="n">
        <v>4.15</v>
      </c>
      <c r="P86" s="26"/>
      <c r="Q86" s="5" t="s">
        <v>373</v>
      </c>
      <c r="R86" s="8" t="n">
        <f aca="false">IF($B86="","",ROUND(($Q$3-$B86)/30,1))</f>
        <v>-1538.7</v>
      </c>
      <c r="S86" s="8" t="str">
        <f aca="false">IF(OR($M86="",$R86=""),"",IF($M86="Jantan",IF($R86&lt;=3,"Cempe Lahir",IF($R86&lt;=6,"Cempe Sapih",IF($R86&lt;=12,"Bakalan","Jantan Siap Kawin"))),IF($M86="Betina",IF($R86&lt;=3,"Cempe Lahir",IF($R86&lt;=6,"Cempe Sapih",IF($R86&lt;=8,"Dara","Betina Siap Kawin"))),"")))</f>
        <v>Cempe Lahir</v>
      </c>
      <c r="T86" s="42" t="n">
        <v>750000</v>
      </c>
      <c r="U86" s="6" t="s">
        <v>249</v>
      </c>
      <c r="V86" s="9" t="s">
        <v>92</v>
      </c>
      <c r="W86" s="26" t="s">
        <v>375</v>
      </c>
      <c r="X86" s="6"/>
      <c r="Y86" s="26" t="s">
        <v>381</v>
      </c>
      <c r="Z86" s="26"/>
      <c r="AA86" s="26"/>
    </row>
    <row r="87" customFormat="false" ht="15" hidden="false" customHeight="true" outlineLevel="0" collapsed="false">
      <c r="A87" s="26" t="n">
        <v>82</v>
      </c>
      <c r="B87" s="39" t="n">
        <v>46164</v>
      </c>
      <c r="C87" s="16" t="s">
        <v>553</v>
      </c>
      <c r="D87" s="5" t="s">
        <v>553</v>
      </c>
      <c r="E87" s="5" t="s">
        <v>554</v>
      </c>
      <c r="F87" s="5" t="s">
        <v>553</v>
      </c>
      <c r="G87" s="26" t="n">
        <v>1</v>
      </c>
      <c r="H87" s="5" t="s">
        <v>283</v>
      </c>
      <c r="I87" s="8" t="s">
        <v>283</v>
      </c>
      <c r="J87" s="5" t="s">
        <v>16</v>
      </c>
      <c r="K87" s="8" t="s">
        <v>18</v>
      </c>
      <c r="L87" s="8" t="s">
        <v>410</v>
      </c>
      <c r="M87" s="5" t="s">
        <v>383</v>
      </c>
      <c r="N87" s="5" t="s">
        <v>372</v>
      </c>
      <c r="O87" s="45" t="n">
        <v>2.35</v>
      </c>
      <c r="P87" s="26"/>
      <c r="Q87" s="5" t="s">
        <v>7</v>
      </c>
      <c r="R87" s="8" t="n">
        <f aca="false">IF($B87="","",ROUND(($Q$3-$B87)/30,1))</f>
        <v>-1538.8</v>
      </c>
      <c r="S87" s="8" t="str">
        <f aca="false">IF(OR($M87="",$R87=""),"",IF($M87="Jantan",IF($R87&lt;=3,"Cempe Lahir",IF($R87&lt;=6,"Cempe Sapih",IF($R87&lt;=12,"Bakalan","Jantan Siap Kawin"))),IF($M87="Betina",IF($R87&lt;=3,"Cempe Lahir",IF($R87&lt;=6,"Cempe Sapih",IF($R87&lt;=8,"Dara","Betina Siap Kawin"))),"")))</f>
        <v>Cempe Lahir</v>
      </c>
      <c r="T87" s="42" t="n">
        <v>750000</v>
      </c>
      <c r="U87" s="6" t="s">
        <v>249</v>
      </c>
      <c r="V87" s="8" t="s">
        <v>90</v>
      </c>
      <c r="W87" s="26" t="s">
        <v>375</v>
      </c>
      <c r="X87" s="5"/>
      <c r="Y87" s="6" t="s">
        <v>376</v>
      </c>
      <c r="Z87" s="26"/>
      <c r="AA87" s="26"/>
    </row>
    <row r="88" customFormat="false" ht="15" hidden="false" customHeight="true" outlineLevel="0" collapsed="false">
      <c r="A88" s="26" t="n">
        <v>83</v>
      </c>
      <c r="B88" s="39" t="n">
        <v>46165</v>
      </c>
      <c r="C88" s="16" t="s">
        <v>555</v>
      </c>
      <c r="D88" s="5" t="s">
        <v>555</v>
      </c>
      <c r="E88" s="5" t="s">
        <v>556</v>
      </c>
      <c r="F88" s="5" t="s">
        <v>555</v>
      </c>
      <c r="G88" s="26" t="n">
        <v>3</v>
      </c>
      <c r="H88" s="5" t="s">
        <v>412</v>
      </c>
      <c r="I88" s="8" t="s">
        <v>170</v>
      </c>
      <c r="J88" s="5" t="s">
        <v>413</v>
      </c>
      <c r="K88" s="8" t="s">
        <v>15</v>
      </c>
      <c r="L88" s="8" t="s">
        <v>233</v>
      </c>
      <c r="M88" s="5" t="s">
        <v>234</v>
      </c>
      <c r="N88" s="5" t="s">
        <v>372</v>
      </c>
      <c r="O88" s="45" t="n">
        <v>2.9</v>
      </c>
      <c r="P88" s="26"/>
      <c r="Q88" s="5" t="s">
        <v>373</v>
      </c>
      <c r="R88" s="8" t="n">
        <f aca="false">IF($B88="","",ROUND(($Q$3-$B88)/30,1))</f>
        <v>-1538.8</v>
      </c>
      <c r="S88" s="8" t="str">
        <f aca="false">IF(OR($M88="",$R88=""),"",IF($M88="Jantan",IF($R88&lt;=3,"Cempe Lahir",IF($R88&lt;=6,"Cempe Sapih",IF($R88&lt;=12,"Bakalan","Jantan Siap Kawin"))),IF($M88="Betina",IF($R88&lt;=3,"Cempe Lahir",IF($R88&lt;=6,"Cempe Sapih",IF($R88&lt;=8,"Dara","Betina Siap Kawin"))),"")))</f>
        <v>Cempe Lahir</v>
      </c>
      <c r="T88" s="42" t="n">
        <v>750000</v>
      </c>
      <c r="U88" s="6" t="s">
        <v>249</v>
      </c>
      <c r="V88" s="8" t="s">
        <v>91</v>
      </c>
      <c r="W88" s="26" t="s">
        <v>375</v>
      </c>
      <c r="X88" s="5"/>
      <c r="Y88" s="26" t="s">
        <v>381</v>
      </c>
      <c r="Z88" s="26" t="s">
        <v>557</v>
      </c>
      <c r="AA88" s="26" t="s">
        <v>557</v>
      </c>
    </row>
    <row r="89" customFormat="false" ht="15" hidden="false" customHeight="true" outlineLevel="0" collapsed="false">
      <c r="A89" s="26" t="n">
        <v>84</v>
      </c>
      <c r="B89" s="39" t="n">
        <v>46165</v>
      </c>
      <c r="C89" s="16" t="s">
        <v>558</v>
      </c>
      <c r="D89" s="5" t="s">
        <v>558</v>
      </c>
      <c r="E89" s="5" t="s">
        <v>559</v>
      </c>
      <c r="F89" s="5" t="s">
        <v>558</v>
      </c>
      <c r="G89" s="26" t="n">
        <v>3</v>
      </c>
      <c r="H89" s="5" t="s">
        <v>412</v>
      </c>
      <c r="I89" s="8" t="s">
        <v>170</v>
      </c>
      <c r="J89" s="5" t="s">
        <v>413</v>
      </c>
      <c r="K89" s="8" t="s">
        <v>15</v>
      </c>
      <c r="L89" s="8" t="s">
        <v>233</v>
      </c>
      <c r="M89" s="5" t="s">
        <v>234</v>
      </c>
      <c r="N89" s="5" t="s">
        <v>372</v>
      </c>
      <c r="O89" s="45" t="n">
        <v>2.6</v>
      </c>
      <c r="P89" s="26"/>
      <c r="Q89" s="5" t="s">
        <v>373</v>
      </c>
      <c r="R89" s="8" t="n">
        <f aca="false">IF($B89="","",ROUND(($Q$3-$B89)/30,1))</f>
        <v>-1538.8</v>
      </c>
      <c r="S89" s="8" t="str">
        <f aca="false">IF(OR($M89="",$R89=""),"",IF($M89="Jantan",IF($R89&lt;=3,"Cempe Lahir",IF($R89&lt;=6,"Cempe Sapih",IF($R89&lt;=12,"Bakalan","Jantan Siap Kawin"))),IF($M89="Betina",IF($R89&lt;=3,"Cempe Lahir",IF($R89&lt;=6,"Cempe Sapih",IF($R89&lt;=8,"Dara","Betina Siap Kawin"))),"")))</f>
        <v>Cempe Lahir</v>
      </c>
      <c r="T89" s="42" t="n">
        <v>750000</v>
      </c>
      <c r="U89" s="6" t="s">
        <v>249</v>
      </c>
      <c r="V89" s="8" t="s">
        <v>91</v>
      </c>
      <c r="W89" s="26" t="s">
        <v>375</v>
      </c>
      <c r="X89" s="5"/>
      <c r="Y89" s="26" t="s">
        <v>381</v>
      </c>
      <c r="Z89" s="26"/>
      <c r="AA89" s="26"/>
    </row>
    <row r="90" customFormat="false" ht="15" hidden="false" customHeight="true" outlineLevel="0" collapsed="false">
      <c r="A90" s="26" t="n">
        <v>85</v>
      </c>
      <c r="B90" s="39" t="n">
        <v>46165</v>
      </c>
      <c r="C90" s="16" t="s">
        <v>560</v>
      </c>
      <c r="D90" s="5" t="s">
        <v>560</v>
      </c>
      <c r="E90" s="5" t="s">
        <v>561</v>
      </c>
      <c r="F90" s="5" t="s">
        <v>560</v>
      </c>
      <c r="G90" s="26" t="n">
        <v>3</v>
      </c>
      <c r="H90" s="5" t="s">
        <v>412</v>
      </c>
      <c r="I90" s="8" t="s">
        <v>170</v>
      </c>
      <c r="J90" s="5" t="s">
        <v>413</v>
      </c>
      <c r="K90" s="8" t="s">
        <v>15</v>
      </c>
      <c r="L90" s="8" t="s">
        <v>233</v>
      </c>
      <c r="M90" s="5" t="s">
        <v>383</v>
      </c>
      <c r="N90" s="5" t="s">
        <v>372</v>
      </c>
      <c r="O90" s="45" t="n">
        <v>2.95</v>
      </c>
      <c r="P90" s="26"/>
      <c r="Q90" s="5" t="s">
        <v>373</v>
      </c>
      <c r="R90" s="8" t="n">
        <f aca="false">IF($B90="","",ROUND(($Q$3-$B90)/30,1))</f>
        <v>-1538.8</v>
      </c>
      <c r="S90" s="8" t="str">
        <f aca="false">IF(OR($M90="",$R90=""),"",IF($M90="Jantan",IF($R90&lt;=3,"Cempe Lahir",IF($R90&lt;=6,"Cempe Sapih",IF($R90&lt;=12,"Bakalan","Jantan Siap Kawin"))),IF($M90="Betina",IF($R90&lt;=3,"Cempe Lahir",IF($R90&lt;=6,"Cempe Sapih",IF($R90&lt;=8,"Dara","Betina Siap Kawin"))),"")))</f>
        <v>Cempe Lahir</v>
      </c>
      <c r="T90" s="42" t="n">
        <v>750000</v>
      </c>
      <c r="U90" s="6" t="s">
        <v>249</v>
      </c>
      <c r="V90" s="8" t="s">
        <v>91</v>
      </c>
      <c r="W90" s="26" t="s">
        <v>375</v>
      </c>
      <c r="X90" s="5"/>
      <c r="Y90" s="26" t="s">
        <v>381</v>
      </c>
      <c r="Z90" s="26"/>
      <c r="AA90" s="26"/>
    </row>
    <row r="91" customFormat="false" ht="15" hidden="false" customHeight="true" outlineLevel="0" collapsed="false">
      <c r="A91" s="26" t="n">
        <v>86</v>
      </c>
      <c r="B91" s="39" t="n">
        <v>46165</v>
      </c>
      <c r="C91" s="16" t="s">
        <v>562</v>
      </c>
      <c r="D91" s="5" t="s">
        <v>562</v>
      </c>
      <c r="E91" s="5" t="s">
        <v>563</v>
      </c>
      <c r="F91" s="5" t="s">
        <v>562</v>
      </c>
      <c r="G91" s="26" t="n">
        <v>1</v>
      </c>
      <c r="H91" s="5" t="s">
        <v>335</v>
      </c>
      <c r="I91" s="8" t="s">
        <v>335</v>
      </c>
      <c r="J91" s="5" t="s">
        <v>302</v>
      </c>
      <c r="K91" s="8" t="s">
        <v>15</v>
      </c>
      <c r="L91" s="8" t="s">
        <v>233</v>
      </c>
      <c r="M91" s="5" t="s">
        <v>383</v>
      </c>
      <c r="N91" s="5" t="s">
        <v>372</v>
      </c>
      <c r="O91" s="45" t="n">
        <v>6.8</v>
      </c>
      <c r="P91" s="26"/>
      <c r="Q91" s="5" t="s">
        <v>373</v>
      </c>
      <c r="R91" s="8" t="n">
        <f aca="false">IF($B91="","",ROUND(($Q$3-$B91)/30,1))</f>
        <v>-1538.8</v>
      </c>
      <c r="S91" s="8" t="str">
        <f aca="false">IF(OR($M91="",$R91=""),"",IF($M91="Jantan",IF($R91&lt;=3,"Cempe Lahir",IF($R91&lt;=6,"Cempe Sapih",IF($R91&lt;=12,"Bakalan","Jantan Siap Kawin"))),IF($M91="Betina",IF($R91&lt;=3,"Cempe Lahir",IF($R91&lt;=6,"Cempe Sapih",IF($R91&lt;=8,"Dara","Betina Siap Kawin"))),"")))</f>
        <v>Cempe Lahir</v>
      </c>
      <c r="T91" s="42" t="n">
        <v>750000</v>
      </c>
      <c r="U91" s="6" t="s">
        <v>249</v>
      </c>
      <c r="V91" s="9" t="s">
        <v>92</v>
      </c>
      <c r="W91" s="26" t="s">
        <v>375</v>
      </c>
      <c r="X91" s="6"/>
      <c r="Y91" s="26" t="s">
        <v>381</v>
      </c>
      <c r="Z91" s="26" t="s">
        <v>564</v>
      </c>
      <c r="AA91" s="26" t="s">
        <v>564</v>
      </c>
    </row>
    <row r="92" customFormat="false" ht="15" hidden="false" customHeight="true" outlineLevel="0" collapsed="false">
      <c r="A92" s="26" t="n">
        <v>87</v>
      </c>
      <c r="B92" s="39" t="n">
        <v>46165</v>
      </c>
      <c r="C92" s="16" t="s">
        <v>565</v>
      </c>
      <c r="D92" s="5" t="s">
        <v>565</v>
      </c>
      <c r="E92" s="5" t="s">
        <v>566</v>
      </c>
      <c r="F92" s="5" t="s">
        <v>565</v>
      </c>
      <c r="G92" s="26" t="n">
        <v>1</v>
      </c>
      <c r="H92" s="5" t="s">
        <v>260</v>
      </c>
      <c r="I92" s="8" t="s">
        <v>260</v>
      </c>
      <c r="J92" s="5" t="s">
        <v>16</v>
      </c>
      <c r="K92" s="8" t="s">
        <v>18</v>
      </c>
      <c r="L92" s="8" t="s">
        <v>410</v>
      </c>
      <c r="M92" s="5" t="s">
        <v>234</v>
      </c>
      <c r="N92" s="5" t="s">
        <v>372</v>
      </c>
      <c r="O92" s="45" t="n">
        <v>6.25</v>
      </c>
      <c r="P92" s="26"/>
      <c r="Q92" s="5" t="s">
        <v>567</v>
      </c>
      <c r="R92" s="8" t="n">
        <f aca="false">IF($B92="","",ROUND(($Q$3-$B92)/30,1))</f>
        <v>-1538.8</v>
      </c>
      <c r="S92" s="8" t="str">
        <f aca="false">IF(OR($M92="",$R92=""),"",IF($M92="Jantan",IF($R92&lt;=3,"Cempe Lahir",IF($R92&lt;=6,"Cempe Sapih",IF($R92&lt;=12,"Bakalan","Jantan Siap Kawin"))),IF($M92="Betina",IF($R92&lt;=3,"Cempe Lahir",IF($R92&lt;=6,"Cempe Sapih",IF($R92&lt;=8,"Dara","Betina Siap Kawin"))),"")))</f>
        <v>Cempe Lahir</v>
      </c>
      <c r="T92" s="42" t="n">
        <v>750000</v>
      </c>
      <c r="U92" s="6" t="s">
        <v>249</v>
      </c>
      <c r="V92" s="8" t="s">
        <v>88</v>
      </c>
      <c r="W92" s="26" t="s">
        <v>375</v>
      </c>
      <c r="X92" s="5"/>
      <c r="Y92" s="26" t="s">
        <v>381</v>
      </c>
      <c r="Z92" s="26"/>
      <c r="AA92" s="26"/>
    </row>
    <row r="93" customFormat="false" ht="15" hidden="false" customHeight="true" outlineLevel="0" collapsed="false">
      <c r="A93" s="26" t="n">
        <v>88</v>
      </c>
      <c r="B93" s="39" t="n">
        <v>46167</v>
      </c>
      <c r="C93" s="16" t="s">
        <v>568</v>
      </c>
      <c r="D93" s="5" t="s">
        <v>568</v>
      </c>
      <c r="E93" s="5" t="s">
        <v>569</v>
      </c>
      <c r="F93" s="5" t="s">
        <v>568</v>
      </c>
      <c r="G93" s="26" t="n">
        <v>2</v>
      </c>
      <c r="H93" s="5" t="s">
        <v>171</v>
      </c>
      <c r="I93" s="8" t="s">
        <v>171</v>
      </c>
      <c r="J93" s="5" t="s">
        <v>302</v>
      </c>
      <c r="K93" s="8" t="s">
        <v>15</v>
      </c>
      <c r="L93" s="8" t="s">
        <v>233</v>
      </c>
      <c r="M93" s="5" t="s">
        <v>234</v>
      </c>
      <c r="N93" s="5" t="s">
        <v>372</v>
      </c>
      <c r="O93" s="45" t="n">
        <v>2.5</v>
      </c>
      <c r="P93" s="26"/>
      <c r="Q93" s="5" t="s">
        <v>373</v>
      </c>
      <c r="R93" s="8" t="n">
        <f aca="false">IF($B93="","",ROUND(($Q$3-$B93)/30,1))</f>
        <v>-1538.9</v>
      </c>
      <c r="S93" s="8" t="str">
        <f aca="false">IF(OR($M93="",$R93=""),"",IF($M93="Jantan",IF($R93&lt;=3,"Cempe Lahir",IF($R93&lt;=6,"Cempe Sapih",IF($R93&lt;=12,"Bakalan","Jantan Siap Kawin"))),IF($M93="Betina",IF($R93&lt;=3,"Cempe Lahir",IF($R93&lt;=6,"Cempe Sapih",IF($R93&lt;=8,"Dara","Betina Siap Kawin"))),"")))</f>
        <v>Cempe Lahir</v>
      </c>
      <c r="T93" s="42" t="n">
        <v>750000</v>
      </c>
      <c r="U93" s="6" t="s">
        <v>249</v>
      </c>
      <c r="V93" s="9" t="s">
        <v>92</v>
      </c>
      <c r="W93" s="26" t="s">
        <v>375</v>
      </c>
      <c r="X93" s="6"/>
      <c r="Y93" s="7" t="s">
        <v>426</v>
      </c>
      <c r="Z93" s="26" t="s">
        <v>570</v>
      </c>
      <c r="AA93" s="26" t="s">
        <v>571</v>
      </c>
    </row>
    <row r="94" customFormat="false" ht="15" hidden="false" customHeight="true" outlineLevel="0" collapsed="false">
      <c r="A94" s="26" t="n">
        <v>89</v>
      </c>
      <c r="B94" s="39" t="n">
        <v>46167</v>
      </c>
      <c r="C94" s="16" t="s">
        <v>572</v>
      </c>
      <c r="D94" s="5" t="s">
        <v>572</v>
      </c>
      <c r="E94" s="5" t="s">
        <v>573</v>
      </c>
      <c r="F94" s="5" t="s">
        <v>572</v>
      </c>
      <c r="G94" s="26" t="n">
        <v>2</v>
      </c>
      <c r="H94" s="5" t="s">
        <v>171</v>
      </c>
      <c r="I94" s="8" t="s">
        <v>171</v>
      </c>
      <c r="J94" s="5" t="s">
        <v>302</v>
      </c>
      <c r="K94" s="8" t="s">
        <v>15</v>
      </c>
      <c r="L94" s="8" t="s">
        <v>233</v>
      </c>
      <c r="M94" s="5" t="s">
        <v>234</v>
      </c>
      <c r="N94" s="5" t="s">
        <v>372</v>
      </c>
      <c r="O94" s="45" t="n">
        <v>2.75</v>
      </c>
      <c r="P94" s="26"/>
      <c r="Q94" s="5" t="s">
        <v>373</v>
      </c>
      <c r="R94" s="8" t="n">
        <f aca="false">IF($B94="","",ROUND(($Q$3-$B94)/30,1))</f>
        <v>-1538.9</v>
      </c>
      <c r="S94" s="8" t="str">
        <f aca="false">IF(OR($M94="",$R94=""),"",IF($M94="Jantan",IF($R94&lt;=3,"Cempe Lahir",IF($R94&lt;=6,"Cempe Sapih",IF($R94&lt;=12,"Bakalan","Jantan Siap Kawin"))),IF($M94="Betina",IF($R94&lt;=3,"Cempe Lahir",IF($R94&lt;=6,"Cempe Sapih",IF($R94&lt;=8,"Dara","Betina Siap Kawin"))),"")))</f>
        <v>Cempe Lahir</v>
      </c>
      <c r="T94" s="42" t="n">
        <v>750000</v>
      </c>
      <c r="U94" s="6" t="s">
        <v>249</v>
      </c>
      <c r="V94" s="9" t="s">
        <v>92</v>
      </c>
      <c r="W94" s="26" t="s">
        <v>375</v>
      </c>
      <c r="X94" s="6"/>
      <c r="Y94" s="7" t="s">
        <v>426</v>
      </c>
      <c r="Z94" s="26" t="s">
        <v>574</v>
      </c>
      <c r="AA94" s="26" t="s">
        <v>574</v>
      </c>
    </row>
    <row r="95" customFormat="false" ht="15" hidden="false" customHeight="true" outlineLevel="0" collapsed="false">
      <c r="A95" s="26" t="n">
        <v>90</v>
      </c>
      <c r="B95" s="39" t="n">
        <v>46169</v>
      </c>
      <c r="C95" s="16" t="s">
        <v>575</v>
      </c>
      <c r="D95" s="5" t="s">
        <v>575</v>
      </c>
      <c r="E95" s="5" t="s">
        <v>576</v>
      </c>
      <c r="F95" s="5" t="s">
        <v>575</v>
      </c>
      <c r="G95" s="26" t="n">
        <v>1</v>
      </c>
      <c r="H95" s="5" t="s">
        <v>316</v>
      </c>
      <c r="I95" s="8" t="s">
        <v>316</v>
      </c>
      <c r="J95" s="5" t="s">
        <v>302</v>
      </c>
      <c r="K95" s="8" t="s">
        <v>15</v>
      </c>
      <c r="L95" s="8" t="s">
        <v>233</v>
      </c>
      <c r="M95" s="5" t="s">
        <v>383</v>
      </c>
      <c r="N95" s="5" t="s">
        <v>372</v>
      </c>
      <c r="O95" s="45" t="n">
        <v>5.3</v>
      </c>
      <c r="P95" s="26"/>
      <c r="Q95" s="5" t="s">
        <v>373</v>
      </c>
      <c r="R95" s="8" t="n">
        <f aca="false">IF($B95="","",ROUND(($Q$3-$B95)/30,1))</f>
        <v>-1539</v>
      </c>
      <c r="S95" s="8" t="str">
        <f aca="false">IF(OR($M95="",$R95=""),"",IF($M95="Jantan",IF($R95&lt;=3,"Cempe Lahir",IF($R95&lt;=6,"Cempe Sapih",IF($R95&lt;=12,"Bakalan","Jantan Siap Kawin"))),IF($M95="Betina",IF($R95&lt;=3,"Cempe Lahir",IF($R95&lt;=6,"Cempe Sapih",IF($R95&lt;=8,"Dara","Betina Siap Kawin"))),"")))</f>
        <v>Cempe Lahir</v>
      </c>
      <c r="T95" s="42" t="n">
        <v>750000</v>
      </c>
      <c r="U95" s="6" t="s">
        <v>249</v>
      </c>
      <c r="V95" s="9" t="s">
        <v>92</v>
      </c>
      <c r="W95" s="26" t="s">
        <v>375</v>
      </c>
      <c r="X95" s="6"/>
      <c r="Y95" s="26" t="s">
        <v>381</v>
      </c>
      <c r="Z95" s="26"/>
      <c r="AA95" s="26"/>
    </row>
    <row r="96" customFormat="false" ht="15" hidden="false" customHeight="true" outlineLevel="0" collapsed="false">
      <c r="A96" s="26" t="n">
        <v>91</v>
      </c>
      <c r="B96" s="39" t="n">
        <v>46170</v>
      </c>
      <c r="C96" s="16" t="s">
        <v>577</v>
      </c>
      <c r="D96" s="5" t="s">
        <v>577</v>
      </c>
      <c r="E96" s="5" t="s">
        <v>578</v>
      </c>
      <c r="F96" s="5" t="s">
        <v>577</v>
      </c>
      <c r="G96" s="26" t="n">
        <v>2</v>
      </c>
      <c r="H96" s="5" t="s">
        <v>171</v>
      </c>
      <c r="I96" s="8" t="s">
        <v>171</v>
      </c>
      <c r="J96" s="5" t="s">
        <v>302</v>
      </c>
      <c r="K96" s="8" t="s">
        <v>15</v>
      </c>
      <c r="L96" s="8" t="s">
        <v>233</v>
      </c>
      <c r="M96" s="5" t="s">
        <v>383</v>
      </c>
      <c r="N96" s="5" t="s">
        <v>372</v>
      </c>
      <c r="O96" s="45" t="n">
        <v>2.5</v>
      </c>
      <c r="P96" s="26"/>
      <c r="Q96" s="5" t="s">
        <v>373</v>
      </c>
      <c r="R96" s="8" t="n">
        <f aca="false">IF($B96="","",ROUND(($Q$3-$B96)/30,1))</f>
        <v>-1539</v>
      </c>
      <c r="S96" s="8" t="str">
        <f aca="false">IF(OR($M96="",$R96=""),"",IF($M96="Jantan",IF($R96&lt;=3,"Cempe Lahir",IF($R96&lt;=6,"Cempe Sapih",IF($R96&lt;=12,"Bakalan","Jantan Siap Kawin"))),IF($M96="Betina",IF($R96&lt;=3,"Cempe Lahir",IF($R96&lt;=6,"Cempe Sapih",IF($R96&lt;=8,"Dara","Betina Siap Kawin"))),"")))</f>
        <v>Cempe Lahir</v>
      </c>
      <c r="T96" s="42" t="n">
        <v>750000</v>
      </c>
      <c r="U96" s="6" t="s">
        <v>249</v>
      </c>
      <c r="V96" s="9" t="s">
        <v>92</v>
      </c>
      <c r="W96" s="26" t="s">
        <v>375</v>
      </c>
      <c r="X96" s="6"/>
      <c r="Y96" s="7" t="s">
        <v>426</v>
      </c>
      <c r="Z96" s="26" t="s">
        <v>579</v>
      </c>
      <c r="AA96" s="26" t="s">
        <v>579</v>
      </c>
    </row>
    <row r="97" customFormat="false" ht="15" hidden="false" customHeight="true" outlineLevel="0" collapsed="false">
      <c r="A97" s="26" t="n">
        <v>92</v>
      </c>
      <c r="B97" s="39" t="n">
        <v>46170</v>
      </c>
      <c r="C97" s="16" t="s">
        <v>580</v>
      </c>
      <c r="D97" s="5" t="s">
        <v>580</v>
      </c>
      <c r="E97" s="5" t="s">
        <v>581</v>
      </c>
      <c r="F97" s="5" t="s">
        <v>580</v>
      </c>
      <c r="G97" s="26" t="n">
        <v>2</v>
      </c>
      <c r="H97" s="5" t="s">
        <v>171</v>
      </c>
      <c r="I97" s="8" t="s">
        <v>171</v>
      </c>
      <c r="J97" s="5" t="s">
        <v>302</v>
      </c>
      <c r="K97" s="8" t="s">
        <v>15</v>
      </c>
      <c r="L97" s="8" t="s">
        <v>233</v>
      </c>
      <c r="M97" s="5" t="s">
        <v>234</v>
      </c>
      <c r="N97" s="5" t="s">
        <v>372</v>
      </c>
      <c r="O97" s="45" t="n">
        <v>2.75</v>
      </c>
      <c r="P97" s="26"/>
      <c r="Q97" s="5" t="s">
        <v>373</v>
      </c>
      <c r="R97" s="8" t="n">
        <f aca="false">IF($B97="","",ROUND(($Q$3-$B97)/30,1))</f>
        <v>-1539</v>
      </c>
      <c r="S97" s="8" t="str">
        <f aca="false">IF(OR($M97="",$R97=""),"",IF($M97="Jantan",IF($R97&lt;=3,"Cempe Lahir",IF($R97&lt;=6,"Cempe Sapih",IF($R97&lt;=12,"Bakalan","Jantan Siap Kawin"))),IF($M97="Betina",IF($R97&lt;=3,"Cempe Lahir",IF($R97&lt;=6,"Cempe Sapih",IF($R97&lt;=8,"Dara","Betina Siap Kawin"))),"")))</f>
        <v>Cempe Lahir</v>
      </c>
      <c r="T97" s="42" t="n">
        <v>750000</v>
      </c>
      <c r="U97" s="6" t="s">
        <v>249</v>
      </c>
      <c r="V97" s="9" t="s">
        <v>92</v>
      </c>
      <c r="W97" s="26" t="s">
        <v>393</v>
      </c>
      <c r="X97" s="6"/>
      <c r="Y97" s="7" t="s">
        <v>426</v>
      </c>
      <c r="Z97" s="26" t="s">
        <v>582</v>
      </c>
      <c r="AA97" s="26" t="s">
        <v>582</v>
      </c>
    </row>
    <row r="98" customFormat="false" ht="15" hidden="false" customHeight="true" outlineLevel="0" collapsed="false">
      <c r="A98" s="26" t="n">
        <v>93</v>
      </c>
      <c r="B98" s="39" t="n">
        <v>46170</v>
      </c>
      <c r="C98" s="16" t="s">
        <v>583</v>
      </c>
      <c r="D98" s="5" t="s">
        <v>583</v>
      </c>
      <c r="E98" s="5" t="s">
        <v>584</v>
      </c>
      <c r="F98" s="5" t="s">
        <v>583</v>
      </c>
      <c r="G98" s="26" t="n">
        <v>1</v>
      </c>
      <c r="H98" s="5" t="s">
        <v>324</v>
      </c>
      <c r="I98" s="8" t="s">
        <v>324</v>
      </c>
      <c r="J98" s="5" t="s">
        <v>15</v>
      </c>
      <c r="K98" s="8" t="s">
        <v>16</v>
      </c>
      <c r="L98" s="8" t="s">
        <v>252</v>
      </c>
      <c r="M98" s="5" t="s">
        <v>234</v>
      </c>
      <c r="N98" s="5" t="s">
        <v>372</v>
      </c>
      <c r="O98" s="45" t="n">
        <v>4.4</v>
      </c>
      <c r="P98" s="26"/>
      <c r="Q98" s="5" t="s">
        <v>3</v>
      </c>
      <c r="R98" s="8" t="n">
        <f aca="false">IF($B98="","",ROUND(($Q$3-$B98)/30,1))</f>
        <v>-1539</v>
      </c>
      <c r="S98" s="8" t="str">
        <f aca="false">IF(OR($M98="",$R98=""),"",IF($M98="Jantan",IF($R98&lt;=3,"Cempe Lahir",IF($R98&lt;=6,"Cempe Sapih",IF($R98&lt;=12,"Bakalan","Jantan Siap Kawin"))),IF($M98="Betina",IF($R98&lt;=3,"Cempe Lahir",IF($R98&lt;=6,"Cempe Sapih",IF($R98&lt;=8,"Dara","Betina Siap Kawin"))),"")))</f>
        <v>Cempe Lahir</v>
      </c>
      <c r="T98" s="42" t="n">
        <v>750000</v>
      </c>
      <c r="U98" s="6" t="s">
        <v>249</v>
      </c>
      <c r="V98" s="9" t="s">
        <v>92</v>
      </c>
      <c r="W98" s="26" t="s">
        <v>375</v>
      </c>
      <c r="X98" s="6"/>
      <c r="Y98" s="26" t="s">
        <v>381</v>
      </c>
      <c r="Z98" s="26"/>
      <c r="AA98" s="26"/>
    </row>
    <row r="99" customFormat="false" ht="15" hidden="false" customHeight="true" outlineLevel="0" collapsed="false">
      <c r="A99" s="26" t="n">
        <v>94</v>
      </c>
      <c r="B99" s="39" t="n">
        <v>46170</v>
      </c>
      <c r="C99" s="16" t="s">
        <v>585</v>
      </c>
      <c r="D99" s="5" t="s">
        <v>585</v>
      </c>
      <c r="E99" s="5" t="s">
        <v>586</v>
      </c>
      <c r="F99" s="5" t="s">
        <v>585</v>
      </c>
      <c r="G99" s="26" t="n">
        <v>1</v>
      </c>
      <c r="H99" s="5" t="s">
        <v>325</v>
      </c>
      <c r="I99" s="8" t="s">
        <v>325</v>
      </c>
      <c r="J99" s="5" t="s">
        <v>15</v>
      </c>
      <c r="K99" s="8" t="s">
        <v>16</v>
      </c>
      <c r="L99" s="8" t="s">
        <v>252</v>
      </c>
      <c r="M99" s="5" t="s">
        <v>383</v>
      </c>
      <c r="N99" s="5" t="s">
        <v>372</v>
      </c>
      <c r="O99" s="45" t="n">
        <v>6.55</v>
      </c>
      <c r="P99" s="26"/>
      <c r="Q99" s="5" t="s">
        <v>9</v>
      </c>
      <c r="R99" s="8" t="n">
        <f aca="false">IF($B99="","",ROUND(($Q$3-$B99)/30,1))</f>
        <v>-1539</v>
      </c>
      <c r="S99" s="8" t="str">
        <f aca="false">IF(OR($M99="",$R99=""),"",IF($M99="Jantan",IF($R99&lt;=3,"Cempe Lahir",IF($R99&lt;=6,"Cempe Sapih",IF($R99&lt;=12,"Bakalan","Jantan Siap Kawin"))),IF($M99="Betina",IF($R99&lt;=3,"Cempe Lahir",IF($R99&lt;=6,"Cempe Sapih",IF($R99&lt;=8,"Dara","Betina Siap Kawin"))),"")))</f>
        <v>Cempe Lahir</v>
      </c>
      <c r="T99" s="42" t="n">
        <v>750000</v>
      </c>
      <c r="U99" s="6" t="s">
        <v>249</v>
      </c>
      <c r="V99" s="9" t="s">
        <v>92</v>
      </c>
      <c r="W99" s="26" t="s">
        <v>375</v>
      </c>
      <c r="X99" s="6"/>
      <c r="Y99" s="26" t="s">
        <v>381</v>
      </c>
      <c r="Z99" s="26"/>
      <c r="AA99" s="26"/>
    </row>
    <row r="100" customFormat="false" ht="15" hidden="false" customHeight="true" outlineLevel="0" collapsed="false">
      <c r="A100" s="26" t="n">
        <v>95</v>
      </c>
      <c r="B100" s="39" t="n">
        <v>46177</v>
      </c>
      <c r="C100" s="16" t="s">
        <v>587</v>
      </c>
      <c r="D100" s="5" t="s">
        <v>587</v>
      </c>
      <c r="E100" s="5" t="s">
        <v>588</v>
      </c>
      <c r="F100" s="5" t="s">
        <v>587</v>
      </c>
      <c r="G100" s="26" t="n">
        <v>2</v>
      </c>
      <c r="H100" s="5" t="s">
        <v>176</v>
      </c>
      <c r="I100" s="8" t="s">
        <v>176</v>
      </c>
      <c r="J100" s="5" t="s">
        <v>302</v>
      </c>
      <c r="K100" s="8" t="s">
        <v>15</v>
      </c>
      <c r="L100" s="8" t="s">
        <v>233</v>
      </c>
      <c r="M100" s="5" t="s">
        <v>234</v>
      </c>
      <c r="N100" s="5" t="s">
        <v>372</v>
      </c>
      <c r="O100" s="45" t="n">
        <v>3.55</v>
      </c>
      <c r="P100" s="26"/>
      <c r="Q100" s="5" t="s">
        <v>373</v>
      </c>
      <c r="R100" s="8" t="n">
        <f aca="false">IF($B100="","",ROUND(($Q$3-$B100)/30,1))</f>
        <v>-1539.2</v>
      </c>
      <c r="S100" s="8" t="str">
        <f aca="false">IF(OR($M100="",$R100=""),"",IF($M100="Jantan",IF($R100&lt;=3,"Cempe Lahir",IF($R100&lt;=6,"Cempe Sapih",IF($R100&lt;=12,"Bakalan","Jantan Siap Kawin"))),IF($M100="Betina",IF($R100&lt;=3,"Cempe Lahir",IF($R100&lt;=6,"Cempe Sapih",IF($R100&lt;=8,"Dara","Betina Siap Kawin"))),"")))</f>
        <v>Cempe Lahir</v>
      </c>
      <c r="T100" s="42" t="n">
        <v>750000</v>
      </c>
      <c r="U100" s="6" t="s">
        <v>249</v>
      </c>
      <c r="V100" s="9" t="s">
        <v>92</v>
      </c>
      <c r="W100" s="26" t="s">
        <v>375</v>
      </c>
      <c r="X100" s="6"/>
      <c r="Y100" s="26" t="s">
        <v>381</v>
      </c>
      <c r="Z100" s="26" t="s">
        <v>589</v>
      </c>
      <c r="AA100" s="26" t="s">
        <v>589</v>
      </c>
    </row>
    <row r="101" customFormat="false" ht="15" hidden="false" customHeight="true" outlineLevel="0" collapsed="false">
      <c r="A101" s="26" t="n">
        <v>96</v>
      </c>
      <c r="B101" s="39" t="n">
        <v>46177</v>
      </c>
      <c r="C101" s="16" t="s">
        <v>590</v>
      </c>
      <c r="D101" s="5" t="s">
        <v>590</v>
      </c>
      <c r="E101" s="5" t="s">
        <v>591</v>
      </c>
      <c r="F101" s="5" t="s">
        <v>590</v>
      </c>
      <c r="G101" s="26" t="n">
        <v>2</v>
      </c>
      <c r="H101" s="5" t="s">
        <v>176</v>
      </c>
      <c r="I101" s="8" t="s">
        <v>176</v>
      </c>
      <c r="J101" s="5" t="s">
        <v>302</v>
      </c>
      <c r="K101" s="8" t="s">
        <v>15</v>
      </c>
      <c r="L101" s="8" t="s">
        <v>233</v>
      </c>
      <c r="M101" s="5" t="s">
        <v>383</v>
      </c>
      <c r="N101" s="5" t="s">
        <v>372</v>
      </c>
      <c r="O101" s="45" t="n">
        <v>3.3</v>
      </c>
      <c r="P101" s="26"/>
      <c r="Q101" s="5" t="s">
        <v>373</v>
      </c>
      <c r="R101" s="8" t="n">
        <f aca="false">IF($B101="","",ROUND(($Q$3-$B101)/30,1))</f>
        <v>-1539.2</v>
      </c>
      <c r="S101" s="8" t="str">
        <f aca="false">IF(OR($M101="",$R101=""),"",IF($M101="Jantan",IF($R101&lt;=3,"Cempe Lahir",IF($R101&lt;=6,"Cempe Sapih",IF($R101&lt;=12,"Bakalan","Jantan Siap Kawin"))),IF($M101="Betina",IF($R101&lt;=3,"Cempe Lahir",IF($R101&lt;=6,"Cempe Sapih",IF($R101&lt;=8,"Dara","Betina Siap Kawin"))),"")))</f>
        <v>Cempe Lahir</v>
      </c>
      <c r="T101" s="42" t="n">
        <v>750000</v>
      </c>
      <c r="U101" s="6" t="s">
        <v>249</v>
      </c>
      <c r="V101" s="9" t="s">
        <v>92</v>
      </c>
      <c r="W101" s="26" t="s">
        <v>375</v>
      </c>
      <c r="X101" s="6"/>
      <c r="Y101" s="26" t="s">
        <v>381</v>
      </c>
      <c r="Z101" s="26"/>
      <c r="AA101" s="26"/>
    </row>
    <row r="102" customFormat="false" ht="15" hidden="false" customHeight="true" outlineLevel="0" collapsed="false">
      <c r="A102" s="26" t="n">
        <v>97</v>
      </c>
      <c r="B102" s="39" t="n">
        <v>46179</v>
      </c>
      <c r="C102" s="16" t="s">
        <v>592</v>
      </c>
      <c r="D102" s="5" t="s">
        <v>251</v>
      </c>
      <c r="E102" s="5" t="s">
        <v>593</v>
      </c>
      <c r="F102" s="5" t="s">
        <v>251</v>
      </c>
      <c r="G102" s="26" t="n">
        <v>2</v>
      </c>
      <c r="H102" s="5" t="s">
        <v>334</v>
      </c>
      <c r="I102" s="8" t="s">
        <v>334</v>
      </c>
      <c r="J102" s="5" t="s">
        <v>302</v>
      </c>
      <c r="K102" s="8" t="s">
        <v>15</v>
      </c>
      <c r="L102" s="8" t="s">
        <v>233</v>
      </c>
      <c r="M102" s="5" t="s">
        <v>383</v>
      </c>
      <c r="N102" s="5" t="s">
        <v>372</v>
      </c>
      <c r="O102" s="45" t="n">
        <v>3.8</v>
      </c>
      <c r="P102" s="26"/>
      <c r="Q102" s="5" t="s">
        <v>373</v>
      </c>
      <c r="R102" s="8" t="n">
        <f aca="false">IF($B102="","",ROUND(($Q$3-$B102)/30,1))</f>
        <v>-1539.3</v>
      </c>
      <c r="S102" s="8" t="str">
        <f aca="false">IF(OR($M102="",$R102=""),"",IF($M102="Jantan",IF($R102&lt;=3,"Cempe Lahir",IF($R102&lt;=6,"Cempe Sapih",IF($R102&lt;=12,"Bakalan","Jantan Siap Kawin"))),IF($M102="Betina",IF($R102&lt;=3,"Cempe Lahir",IF($R102&lt;=6,"Cempe Sapih",IF($R102&lt;=8,"Dara","Betina Siap Kawin"))),"")))</f>
        <v>Cempe Lahir</v>
      </c>
      <c r="T102" s="42" t="n">
        <v>750000</v>
      </c>
      <c r="U102" s="6" t="s">
        <v>249</v>
      </c>
      <c r="V102" s="9" t="s">
        <v>92</v>
      </c>
      <c r="W102" s="26" t="s">
        <v>375</v>
      </c>
      <c r="X102" s="6"/>
      <c r="Y102" s="26" t="s">
        <v>381</v>
      </c>
      <c r="Z102" s="26" t="s">
        <v>589</v>
      </c>
      <c r="AA102" s="26" t="s">
        <v>589</v>
      </c>
    </row>
    <row r="103" customFormat="false" ht="15" hidden="false" customHeight="true" outlineLevel="0" collapsed="false">
      <c r="A103" s="26" t="n">
        <v>98</v>
      </c>
      <c r="B103" s="39" t="n">
        <v>46179</v>
      </c>
      <c r="C103" s="16" t="s">
        <v>594</v>
      </c>
      <c r="D103" s="5" t="s">
        <v>255</v>
      </c>
      <c r="E103" s="5" t="s">
        <v>595</v>
      </c>
      <c r="F103" s="5" t="s">
        <v>255</v>
      </c>
      <c r="G103" s="26" t="n">
        <v>2</v>
      </c>
      <c r="H103" s="5" t="s">
        <v>334</v>
      </c>
      <c r="I103" s="8" t="s">
        <v>334</v>
      </c>
      <c r="J103" s="5" t="s">
        <v>302</v>
      </c>
      <c r="K103" s="8" t="s">
        <v>15</v>
      </c>
      <c r="L103" s="8" t="s">
        <v>233</v>
      </c>
      <c r="M103" s="5" t="s">
        <v>234</v>
      </c>
      <c r="N103" s="5" t="s">
        <v>372</v>
      </c>
      <c r="O103" s="45" t="n">
        <v>3.1</v>
      </c>
      <c r="P103" s="26"/>
      <c r="Q103" s="5" t="s">
        <v>373</v>
      </c>
      <c r="R103" s="8" t="n">
        <f aca="false">IF($B103="","",ROUND(($Q$3-$B103)/30,1))</f>
        <v>-1539.3</v>
      </c>
      <c r="S103" s="8" t="str">
        <f aca="false">IF(OR($M103="",$R103=""),"",IF($M103="Jantan",IF($R103&lt;=3,"Cempe Lahir",IF($R103&lt;=6,"Cempe Sapih",IF($R103&lt;=12,"Bakalan","Jantan Siap Kawin"))),IF($M103="Betina",IF($R103&lt;=3,"Cempe Lahir",IF($R103&lt;=6,"Cempe Sapih",IF($R103&lt;=8,"Dara","Betina Siap Kawin"))),"")))</f>
        <v>Cempe Lahir</v>
      </c>
      <c r="T103" s="42" t="n">
        <v>750000</v>
      </c>
      <c r="U103" s="6" t="s">
        <v>249</v>
      </c>
      <c r="V103" s="9" t="s">
        <v>92</v>
      </c>
      <c r="W103" s="26" t="s">
        <v>375</v>
      </c>
      <c r="X103" s="6"/>
      <c r="Y103" s="26" t="s">
        <v>381</v>
      </c>
      <c r="Z103" s="26"/>
      <c r="AA103" s="26"/>
    </row>
    <row r="104" customFormat="false" ht="15" hidden="false" customHeight="true" outlineLevel="0" collapsed="false">
      <c r="A104" s="26" t="n">
        <v>99</v>
      </c>
      <c r="B104" s="39" t="n">
        <v>46181</v>
      </c>
      <c r="C104" s="16" t="s">
        <v>596</v>
      </c>
      <c r="D104" s="5" t="s">
        <v>596</v>
      </c>
      <c r="E104" s="5" t="s">
        <v>597</v>
      </c>
      <c r="F104" s="5" t="s">
        <v>596</v>
      </c>
      <c r="G104" s="26" t="n">
        <v>1</v>
      </c>
      <c r="H104" s="5" t="s">
        <v>281</v>
      </c>
      <c r="I104" s="8" t="s">
        <v>281</v>
      </c>
      <c r="J104" s="5" t="s">
        <v>16</v>
      </c>
      <c r="K104" s="8" t="s">
        <v>18</v>
      </c>
      <c r="L104" s="8" t="s">
        <v>410</v>
      </c>
      <c r="M104" s="5" t="s">
        <v>383</v>
      </c>
      <c r="N104" s="5" t="s">
        <v>372</v>
      </c>
      <c r="O104" s="45" t="n">
        <v>5.4</v>
      </c>
      <c r="P104" s="26"/>
      <c r="Q104" s="5" t="s">
        <v>7</v>
      </c>
      <c r="R104" s="8" t="n">
        <f aca="false">IF($B104="","",ROUND(($Q$3-$B104)/30,1))</f>
        <v>-1539.4</v>
      </c>
      <c r="S104" s="8" t="str">
        <f aca="false">IF(OR($M104="",$R104=""),"",IF($M104="Jantan",IF($R104&lt;=3,"Cempe Lahir",IF($R104&lt;=6,"Cempe Sapih",IF($R104&lt;=12,"Bakalan","Jantan Siap Kawin"))),IF($M104="Betina",IF($R104&lt;=3,"Cempe Lahir",IF($R104&lt;=6,"Cempe Sapih",IF($R104&lt;=8,"Dara","Betina Siap Kawin"))),"")))</f>
        <v>Cempe Lahir</v>
      </c>
      <c r="T104" s="42" t="n">
        <v>750000</v>
      </c>
      <c r="U104" s="6" t="s">
        <v>249</v>
      </c>
      <c r="V104" s="8" t="s">
        <v>90</v>
      </c>
      <c r="W104" s="26" t="s">
        <v>375</v>
      </c>
      <c r="X104" s="5"/>
      <c r="Y104" s="26" t="s">
        <v>381</v>
      </c>
      <c r="Z104" s="26"/>
      <c r="AA104" s="26"/>
    </row>
    <row r="105" customFormat="false" ht="15" hidden="false" customHeight="true" outlineLevel="0" collapsed="false">
      <c r="A105" s="26" t="n">
        <v>100</v>
      </c>
      <c r="B105" s="39" t="n">
        <v>46188</v>
      </c>
      <c r="C105" s="16" t="s">
        <v>598</v>
      </c>
      <c r="D105" s="5" t="s">
        <v>598</v>
      </c>
      <c r="E105" s="5" t="s">
        <v>599</v>
      </c>
      <c r="F105" s="5" t="s">
        <v>598</v>
      </c>
      <c r="G105" s="26" t="n">
        <v>1</v>
      </c>
      <c r="H105" s="5" t="s">
        <v>251</v>
      </c>
      <c r="I105" s="8" t="s">
        <v>250</v>
      </c>
      <c r="J105" s="5" t="s">
        <v>16</v>
      </c>
      <c r="K105" s="8" t="s">
        <v>18</v>
      </c>
      <c r="L105" s="8" t="s">
        <v>410</v>
      </c>
      <c r="M105" s="5" t="s">
        <v>383</v>
      </c>
      <c r="N105" s="5" t="s">
        <v>372</v>
      </c>
      <c r="O105" s="45" t="n">
        <v>5</v>
      </c>
      <c r="P105" s="26"/>
      <c r="Q105" s="5" t="s">
        <v>567</v>
      </c>
      <c r="R105" s="8" t="n">
        <f aca="false">IF($B105="","",ROUND(($Q$3-$B105)/30,1))</f>
        <v>-1539.6</v>
      </c>
      <c r="S105" s="8" t="str">
        <f aca="false">IF(OR($M105="",$R105=""),"",IF($M105="Jantan",IF($R105&lt;=3,"Cempe Lahir",IF($R105&lt;=6,"Cempe Sapih",IF($R105&lt;=12,"Bakalan","Jantan Siap Kawin"))),IF($M105="Betina",IF($R105&lt;=3,"Cempe Lahir",IF($R105&lt;=6,"Cempe Sapih",IF($R105&lt;=8,"Dara","Betina Siap Kawin"))),"")))</f>
        <v>Cempe Lahir</v>
      </c>
      <c r="T105" s="42" t="n">
        <v>750000</v>
      </c>
      <c r="U105" s="6" t="s">
        <v>249</v>
      </c>
      <c r="V105" s="8" t="s">
        <v>88</v>
      </c>
      <c r="W105" s="26" t="s">
        <v>375</v>
      </c>
      <c r="X105" s="5"/>
      <c r="Y105" s="6" t="s">
        <v>376</v>
      </c>
      <c r="Z105" s="26" t="s">
        <v>600</v>
      </c>
      <c r="AA105" s="26" t="s">
        <v>600</v>
      </c>
    </row>
    <row r="106" customFormat="false" ht="15" hidden="false" customHeight="true" outlineLevel="0" collapsed="false">
      <c r="A106" s="26" t="n">
        <v>101</v>
      </c>
      <c r="B106" s="39" t="n">
        <v>46189</v>
      </c>
      <c r="C106" s="16" t="s">
        <v>601</v>
      </c>
      <c r="D106" s="5" t="s">
        <v>601</v>
      </c>
      <c r="E106" s="5" t="s">
        <v>602</v>
      </c>
      <c r="F106" s="5" t="s">
        <v>601</v>
      </c>
      <c r="G106" s="26" t="n">
        <v>1</v>
      </c>
      <c r="H106" s="5" t="s">
        <v>308</v>
      </c>
      <c r="I106" s="8" t="s">
        <v>308</v>
      </c>
      <c r="J106" s="5" t="s">
        <v>302</v>
      </c>
      <c r="K106" s="8" t="s">
        <v>15</v>
      </c>
      <c r="L106" s="8" t="s">
        <v>233</v>
      </c>
      <c r="M106" s="5" t="s">
        <v>383</v>
      </c>
      <c r="N106" s="5" t="s">
        <v>372</v>
      </c>
      <c r="O106" s="45" t="n">
        <v>5.25</v>
      </c>
      <c r="P106" s="26"/>
      <c r="Q106" s="5" t="s">
        <v>373</v>
      </c>
      <c r="R106" s="8" t="n">
        <f aca="false">IF($B106="","",ROUND(($Q$3-$B106)/30,1))</f>
        <v>-1539.6</v>
      </c>
      <c r="S106" s="8" t="str">
        <f aca="false">IF(OR($M106="",$R106=""),"",IF($M106="Jantan",IF($R106&lt;=3,"Cempe Lahir",IF($R106&lt;=6,"Cempe Sapih",IF($R106&lt;=12,"Bakalan","Jantan Siap Kawin"))),IF($M106="Betina",IF($R106&lt;=3,"Cempe Lahir",IF($R106&lt;=6,"Cempe Sapih",IF($R106&lt;=8,"Dara","Betina Siap Kawin"))),"")))</f>
        <v>Cempe Lahir</v>
      </c>
      <c r="T106" s="42" t="n">
        <v>750000</v>
      </c>
      <c r="U106" s="6" t="s">
        <v>249</v>
      </c>
      <c r="V106" s="9" t="s">
        <v>92</v>
      </c>
      <c r="W106" s="26" t="s">
        <v>375</v>
      </c>
      <c r="X106" s="6"/>
      <c r="Y106" s="26" t="s">
        <v>381</v>
      </c>
      <c r="Z106" s="26"/>
      <c r="AA106" s="26"/>
    </row>
    <row r="107" customFormat="false" ht="15" hidden="false" customHeight="true" outlineLevel="0" collapsed="false">
      <c r="A107" s="26" t="n">
        <v>102</v>
      </c>
      <c r="B107" s="39" t="n">
        <v>46216</v>
      </c>
      <c r="C107" s="16" t="s">
        <v>603</v>
      </c>
      <c r="D107" s="5" t="s">
        <v>603</v>
      </c>
      <c r="E107" s="5" t="s">
        <v>604</v>
      </c>
      <c r="F107" s="5" t="s">
        <v>603</v>
      </c>
      <c r="G107" s="26" t="n">
        <v>1</v>
      </c>
      <c r="H107" s="5" t="s">
        <v>270</v>
      </c>
      <c r="I107" s="8" t="s">
        <v>270</v>
      </c>
      <c r="J107" s="5" t="s">
        <v>16</v>
      </c>
      <c r="K107" s="8" t="s">
        <v>18</v>
      </c>
      <c r="L107" s="8" t="s">
        <v>410</v>
      </c>
      <c r="M107" s="5" t="s">
        <v>383</v>
      </c>
      <c r="N107" s="5" t="s">
        <v>372</v>
      </c>
      <c r="O107" s="45" t="n">
        <v>3.8</v>
      </c>
      <c r="P107" s="26"/>
      <c r="Q107" s="5" t="s">
        <v>373</v>
      </c>
      <c r="R107" s="8" t="n">
        <f aca="false">IF($B107="","",ROUND(($Q$3-$B107)/30,1))</f>
        <v>-1540.5</v>
      </c>
      <c r="S107" s="8" t="str">
        <f aca="false">IF(OR($M107="",$R107=""),"",IF($M107="Jantan",IF($R107&lt;=3,"Cempe Lahir",IF($R107&lt;=6,"Cempe Sapih",IF($R107&lt;=12,"Bakalan","Jantan Siap Kawin"))),IF($M107="Betina",IF($R107&lt;=3,"Cempe Lahir",IF($R107&lt;=6,"Cempe Sapih",IF($R107&lt;=8,"Dara","Betina Siap Kawin"))),"")))</f>
        <v>Cempe Lahir</v>
      </c>
      <c r="T107" s="42" t="n">
        <v>750000</v>
      </c>
      <c r="U107" s="6" t="s">
        <v>249</v>
      </c>
      <c r="V107" s="8" t="s">
        <v>89</v>
      </c>
      <c r="W107" s="26" t="s">
        <v>375</v>
      </c>
      <c r="X107" s="5"/>
      <c r="Y107" s="26" t="s">
        <v>381</v>
      </c>
      <c r="Z107" s="26"/>
      <c r="AA107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8"/>
    <col collapsed="false" customWidth="true" hidden="false" outlineLevel="0" max="5" min="5" style="1" width="17"/>
    <col collapsed="false" customWidth="true" hidden="false" outlineLevel="0" max="6" min="6" style="1" width="15"/>
    <col collapsed="false" customWidth="true" hidden="false" outlineLevel="0" max="7" min="7" style="1" width="13"/>
    <col collapsed="false" customWidth="true" hidden="false" outlineLevel="0" max="8" min="8" style="1" width="12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1" min="11" style="1" width="42"/>
  </cols>
  <sheetData>
    <row r="1" customFormat="false" ht="17.25" hidden="false" customHeight="true" outlineLevel="0" collapsed="false">
      <c r="A1" s="37" t="s">
        <v>605</v>
      </c>
    </row>
    <row r="2" customFormat="false" ht="15" hidden="false" customHeight="true" outlineLevel="0" collapsed="false">
      <c r="A2" s="13" t="s">
        <v>606</v>
      </c>
    </row>
    <row r="4" customFormat="false" ht="23.25" hidden="false" customHeight="true" outlineLevel="0" collapsed="false">
      <c r="A4" s="35" t="s">
        <v>212</v>
      </c>
      <c r="B4" s="35" t="s">
        <v>215</v>
      </c>
      <c r="C4" s="35" t="s">
        <v>358</v>
      </c>
      <c r="D4" s="35" t="s">
        <v>607</v>
      </c>
      <c r="E4" s="35" t="s">
        <v>213</v>
      </c>
      <c r="F4" s="35" t="s">
        <v>608</v>
      </c>
      <c r="G4" s="35" t="s">
        <v>609</v>
      </c>
      <c r="H4" s="35" t="s">
        <v>220</v>
      </c>
      <c r="I4" s="35" t="s">
        <v>82</v>
      </c>
      <c r="J4" s="35" t="s">
        <v>369</v>
      </c>
      <c r="K4" s="35" t="s">
        <v>370</v>
      </c>
    </row>
    <row r="5" customFormat="false" ht="15" hidden="false" customHeight="true" outlineLevel="0" collapsed="false">
      <c r="A5" s="26" t="n">
        <v>1</v>
      </c>
      <c r="B5" s="5" t="s">
        <v>537</v>
      </c>
      <c r="C5" s="5" t="s">
        <v>536</v>
      </c>
      <c r="D5" s="8" t="str">
        <f aca="false">$B5&amp;" &gt; "&amp;$C5</f>
        <v>F19 &gt; 212</v>
      </c>
      <c r="E5" s="26" t="s">
        <v>610</v>
      </c>
      <c r="F5" s="26" t="s">
        <v>302</v>
      </c>
      <c r="G5" s="26" t="s">
        <v>15</v>
      </c>
      <c r="H5" s="47" t="n">
        <v>46136</v>
      </c>
      <c r="I5" s="26" t="s">
        <v>92</v>
      </c>
      <c r="J5" s="26" t="s">
        <v>381</v>
      </c>
      <c r="K5" s="26" t="s">
        <v>611</v>
      </c>
    </row>
    <row r="6" customFormat="false" ht="15" hidden="false" customHeight="true" outlineLevel="0" collapsed="false">
      <c r="A6" s="26" t="n">
        <v>2</v>
      </c>
      <c r="B6" s="5" t="s">
        <v>519</v>
      </c>
      <c r="C6" s="5" t="s">
        <v>518</v>
      </c>
      <c r="D6" s="8" t="str">
        <f aca="false">$B6&amp;" &gt; "&amp;$C6</f>
        <v>F13 &gt; 478</v>
      </c>
      <c r="E6" s="26" t="s">
        <v>612</v>
      </c>
      <c r="F6" s="26" t="s">
        <v>16</v>
      </c>
      <c r="G6" s="26" t="s">
        <v>18</v>
      </c>
      <c r="H6" s="47" t="n">
        <v>46124</v>
      </c>
      <c r="I6" s="26" t="s">
        <v>89</v>
      </c>
      <c r="J6" s="26" t="s">
        <v>381</v>
      </c>
      <c r="K6" s="26"/>
    </row>
    <row r="7" customFormat="false" ht="15" hidden="false" customHeight="true" outlineLevel="0" collapsed="false">
      <c r="A7" s="26" t="n">
        <v>3</v>
      </c>
      <c r="B7" s="5" t="s">
        <v>502</v>
      </c>
      <c r="C7" s="5" t="s">
        <v>501</v>
      </c>
      <c r="D7" s="8" t="str">
        <f aca="false">$B7&amp;" &gt; "&amp;$C7</f>
        <v>F07 &gt; 397</v>
      </c>
      <c r="E7" s="26" t="s">
        <v>613</v>
      </c>
      <c r="F7" s="26" t="s">
        <v>15</v>
      </c>
      <c r="G7" s="26" t="s">
        <v>16</v>
      </c>
      <c r="H7" s="47" t="n">
        <v>46123</v>
      </c>
      <c r="I7" s="26" t="s">
        <v>87</v>
      </c>
      <c r="J7" s="26" t="s">
        <v>381</v>
      </c>
      <c r="K7" s="26"/>
    </row>
    <row r="8" customFormat="false" ht="15" hidden="false" customHeight="true" outlineLevel="0" collapsed="false">
      <c r="A8" s="26" t="n">
        <v>4</v>
      </c>
      <c r="B8" s="5" t="s">
        <v>513</v>
      </c>
      <c r="C8" s="5" t="s">
        <v>512</v>
      </c>
      <c r="D8" s="8" t="str">
        <f aca="false">$B8&amp;" &gt; "&amp;$C8</f>
        <v>F11 &gt; 233</v>
      </c>
      <c r="E8" s="26" t="s">
        <v>614</v>
      </c>
      <c r="F8" s="26" t="s">
        <v>615</v>
      </c>
      <c r="G8" s="26" t="s">
        <v>15</v>
      </c>
      <c r="H8" s="47" t="n">
        <v>46123</v>
      </c>
      <c r="I8" s="26" t="s">
        <v>92</v>
      </c>
      <c r="J8" s="26" t="s">
        <v>381</v>
      </c>
      <c r="K8" s="26"/>
    </row>
    <row r="9" customFormat="false" ht="15" hidden="false" customHeight="true" outlineLevel="0" collapsed="false">
      <c r="A9" s="26" t="n">
        <v>5</v>
      </c>
      <c r="B9" s="5" t="s">
        <v>499</v>
      </c>
      <c r="C9" s="5" t="s">
        <v>498</v>
      </c>
      <c r="D9" s="8" t="str">
        <f aca="false">$B9&amp;" &gt; "&amp;$C9</f>
        <v>F06 &gt; 399</v>
      </c>
      <c r="E9" s="26" t="s">
        <v>616</v>
      </c>
      <c r="F9" s="26" t="s">
        <v>15</v>
      </c>
      <c r="G9" s="26" t="s">
        <v>16</v>
      </c>
      <c r="H9" s="47" t="n">
        <v>46123</v>
      </c>
      <c r="I9" s="26" t="s">
        <v>87</v>
      </c>
      <c r="J9" s="26" t="s">
        <v>381</v>
      </c>
      <c r="K9" s="26"/>
    </row>
    <row r="10" customFormat="false" ht="15" hidden="false" customHeight="true" outlineLevel="0" collapsed="false">
      <c r="A10" s="26" t="n">
        <v>6</v>
      </c>
      <c r="B10" s="5" t="s">
        <v>510</v>
      </c>
      <c r="C10" s="5" t="s">
        <v>509</v>
      </c>
      <c r="D10" s="8" t="str">
        <f aca="false">$B10&amp;" &gt; "&amp;$C10</f>
        <v>F10 &gt; 229</v>
      </c>
      <c r="E10" s="26" t="s">
        <v>617</v>
      </c>
      <c r="F10" s="26" t="s">
        <v>615</v>
      </c>
      <c r="G10" s="26" t="s">
        <v>15</v>
      </c>
      <c r="H10" s="47" t="n">
        <v>46123</v>
      </c>
      <c r="I10" s="26" t="s">
        <v>92</v>
      </c>
      <c r="J10" s="26" t="s">
        <v>381</v>
      </c>
      <c r="K10" s="26"/>
    </row>
    <row r="11" customFormat="false" ht="15" hidden="false" customHeight="true" outlineLevel="0" collapsed="false">
      <c r="A11" s="26" t="n">
        <v>7</v>
      </c>
      <c r="B11" s="5" t="s">
        <v>541</v>
      </c>
      <c r="C11" s="5" t="s">
        <v>540</v>
      </c>
      <c r="D11" s="8" t="str">
        <f aca="false">$B11&amp;" &gt; "&amp;$C11</f>
        <v>F21 &gt; 302</v>
      </c>
      <c r="E11" s="26" t="s">
        <v>618</v>
      </c>
      <c r="F11" s="26" t="s">
        <v>15</v>
      </c>
      <c r="G11" s="26" t="s">
        <v>16</v>
      </c>
      <c r="H11" s="47" t="n">
        <v>46149</v>
      </c>
      <c r="I11" s="26" t="s">
        <v>91</v>
      </c>
      <c r="J11" s="26" t="s">
        <v>381</v>
      </c>
      <c r="K11" s="26"/>
    </row>
    <row r="12" customFormat="false" ht="15" hidden="false" customHeight="true" outlineLevel="0" collapsed="false">
      <c r="A12" s="26" t="n">
        <v>8</v>
      </c>
      <c r="B12" s="5" t="s">
        <v>619</v>
      </c>
      <c r="C12" s="5" t="s">
        <v>620</v>
      </c>
      <c r="D12" s="8" t="str">
        <f aca="false">$B12&amp;" &gt; "&amp;$C12</f>
        <v>F23 &gt; 485</v>
      </c>
      <c r="E12" s="26"/>
      <c r="F12" s="26" t="s">
        <v>16</v>
      </c>
      <c r="G12" s="26"/>
      <c r="H12" s="26"/>
      <c r="I12" s="26"/>
      <c r="J12" s="26" t="s">
        <v>381</v>
      </c>
      <c r="K12" s="26"/>
    </row>
    <row r="13" customFormat="false" ht="15" hidden="false" customHeight="true" outlineLevel="0" collapsed="false">
      <c r="A13" s="26" t="n">
        <v>9</v>
      </c>
      <c r="B13" s="5" t="s">
        <v>550</v>
      </c>
      <c r="C13" s="5" t="s">
        <v>261</v>
      </c>
      <c r="D13" s="8" t="str">
        <f aca="false">$B13&amp;" &gt; "&amp;$C13</f>
        <v>F25 &gt; 240</v>
      </c>
      <c r="E13" s="26" t="s">
        <v>621</v>
      </c>
      <c r="F13" s="26" t="s">
        <v>302</v>
      </c>
      <c r="G13" s="26" t="s">
        <v>15</v>
      </c>
      <c r="H13" s="47" t="n">
        <v>46161</v>
      </c>
      <c r="I13" s="26" t="s">
        <v>92</v>
      </c>
      <c r="J13" s="26" t="s">
        <v>381</v>
      </c>
      <c r="K13" s="26"/>
    </row>
    <row r="14" customFormat="false" ht="15" hidden="false" customHeight="true" outlineLevel="0" collapsed="false">
      <c r="A14" s="26" t="n">
        <v>10</v>
      </c>
      <c r="B14" s="5" t="s">
        <v>522</v>
      </c>
      <c r="C14" s="5" t="s">
        <v>521</v>
      </c>
      <c r="D14" s="8" t="str">
        <f aca="false">$B14&amp;" &gt; "&amp;$C14</f>
        <v>F14 &gt; 497</v>
      </c>
      <c r="E14" s="26" t="s">
        <v>622</v>
      </c>
      <c r="F14" s="26" t="s">
        <v>16</v>
      </c>
      <c r="G14" s="26" t="s">
        <v>18</v>
      </c>
      <c r="H14" s="47" t="n">
        <v>46126</v>
      </c>
      <c r="I14" s="26" t="s">
        <v>89</v>
      </c>
      <c r="J14" s="26" t="s">
        <v>381</v>
      </c>
      <c r="K14" s="26"/>
    </row>
    <row r="15" customFormat="false" ht="15" hidden="false" customHeight="true" outlineLevel="0" collapsed="false">
      <c r="A15" s="26" t="n">
        <v>11</v>
      </c>
      <c r="B15" s="5" t="s">
        <v>543</v>
      </c>
      <c r="C15" s="5" t="s">
        <v>542</v>
      </c>
      <c r="D15" s="8" t="str">
        <f aca="false">$B15&amp;" &gt; "&amp;$C15</f>
        <v>F22 &gt; 216</v>
      </c>
      <c r="E15" s="26" t="s">
        <v>623</v>
      </c>
      <c r="F15" s="26" t="s">
        <v>302</v>
      </c>
      <c r="G15" s="26" t="s">
        <v>15</v>
      </c>
      <c r="H15" s="47" t="n">
        <v>46151</v>
      </c>
      <c r="I15" s="26" t="s">
        <v>92</v>
      </c>
      <c r="J15" s="26" t="s">
        <v>381</v>
      </c>
      <c r="K15" s="26"/>
    </row>
    <row r="16" customFormat="false" ht="15" hidden="false" customHeight="true" outlineLevel="0" collapsed="false">
      <c r="A16" s="26" t="n">
        <v>12</v>
      </c>
      <c r="B16" s="5" t="s">
        <v>563</v>
      </c>
      <c r="C16" s="5" t="s">
        <v>562</v>
      </c>
      <c r="D16" s="8" t="str">
        <f aca="false">$B16&amp;" &gt; "&amp;$C16</f>
        <v>A73 &gt; 228</v>
      </c>
      <c r="E16" s="26" t="s">
        <v>624</v>
      </c>
      <c r="F16" s="26" t="s">
        <v>302</v>
      </c>
      <c r="G16" s="26" t="s">
        <v>15</v>
      </c>
      <c r="H16" s="47" t="n">
        <v>46165</v>
      </c>
      <c r="I16" s="26" t="s">
        <v>92</v>
      </c>
      <c r="J16" s="26" t="s">
        <v>381</v>
      </c>
      <c r="K16" s="26"/>
    </row>
    <row r="17" customFormat="false" ht="15" hidden="false" customHeight="true" outlineLevel="0" collapsed="false">
      <c r="A17" s="26" t="n">
        <v>13</v>
      </c>
      <c r="B17" s="5" t="s">
        <v>561</v>
      </c>
      <c r="C17" s="5" t="s">
        <v>560</v>
      </c>
      <c r="D17" s="8" t="str">
        <f aca="false">$B17&amp;" &gt; "&amp;$C17</f>
        <v>A58 &gt; 239</v>
      </c>
      <c r="E17" s="26" t="s">
        <v>625</v>
      </c>
      <c r="F17" s="26" t="s">
        <v>626</v>
      </c>
      <c r="G17" s="26" t="s">
        <v>15</v>
      </c>
      <c r="H17" s="47" t="n">
        <v>46165</v>
      </c>
      <c r="I17" s="26" t="s">
        <v>91</v>
      </c>
      <c r="J17" s="26" t="s">
        <v>381</v>
      </c>
      <c r="K17" s="26"/>
    </row>
    <row r="18" customFormat="false" ht="15" hidden="false" customHeight="true" outlineLevel="0" collapsed="false">
      <c r="A18" s="26" t="n">
        <v>14</v>
      </c>
      <c r="B18" s="5" t="s">
        <v>627</v>
      </c>
      <c r="C18" s="5" t="s">
        <v>628</v>
      </c>
      <c r="D18" s="8" t="str">
        <f aca="false">$B18&amp;" &gt; "&amp;$C18</f>
        <v>A54 &gt; 425</v>
      </c>
      <c r="E18" s="26"/>
      <c r="F18" s="26" t="s">
        <v>16</v>
      </c>
      <c r="G18" s="26"/>
      <c r="H18" s="26"/>
      <c r="I18" s="26"/>
      <c r="J18" s="26" t="s">
        <v>381</v>
      </c>
      <c r="K18" s="26"/>
    </row>
    <row r="19" customFormat="false" ht="15" hidden="false" customHeight="true" outlineLevel="0" collapsed="false">
      <c r="A19" s="26" t="n">
        <v>15</v>
      </c>
      <c r="B19" s="5" t="s">
        <v>554</v>
      </c>
      <c r="C19" s="5" t="s">
        <v>553</v>
      </c>
      <c r="D19" s="8" t="str">
        <f aca="false">$B19&amp;" &gt; "&amp;$C19</f>
        <v>A55 &gt; 495</v>
      </c>
      <c r="E19" s="26" t="s">
        <v>629</v>
      </c>
      <c r="F19" s="26" t="s">
        <v>16</v>
      </c>
      <c r="G19" s="26" t="s">
        <v>18</v>
      </c>
      <c r="H19" s="47" t="n">
        <v>46164</v>
      </c>
      <c r="I19" s="26" t="s">
        <v>90</v>
      </c>
      <c r="J19" s="26" t="s">
        <v>381</v>
      </c>
      <c r="K19" s="26"/>
    </row>
    <row r="20" customFormat="false" ht="15" hidden="false" customHeight="true" outlineLevel="0" collapsed="false">
      <c r="A20" s="26" t="n">
        <v>16</v>
      </c>
      <c r="B20" s="5" t="s">
        <v>516</v>
      </c>
      <c r="C20" s="5" t="s">
        <v>515</v>
      </c>
      <c r="D20" s="8" t="str">
        <f aca="false">$B20&amp;" &gt; "&amp;$C20</f>
        <v>F12 &gt; 406</v>
      </c>
      <c r="E20" s="26" t="s">
        <v>630</v>
      </c>
      <c r="F20" s="26" t="s">
        <v>16</v>
      </c>
      <c r="G20" s="26" t="s">
        <v>18</v>
      </c>
      <c r="H20" s="47" t="n">
        <v>46124</v>
      </c>
      <c r="I20" s="26" t="s">
        <v>89</v>
      </c>
      <c r="J20" s="26" t="s">
        <v>381</v>
      </c>
      <c r="K20" s="26"/>
    </row>
    <row r="21" customFormat="false" ht="15" hidden="false" customHeight="true" outlineLevel="0" collapsed="false">
      <c r="A21" s="26" t="n">
        <v>17</v>
      </c>
      <c r="B21" s="5" t="s">
        <v>566</v>
      </c>
      <c r="C21" s="5" t="s">
        <v>565</v>
      </c>
      <c r="D21" s="8" t="str">
        <f aca="false">$B21&amp;" &gt; "&amp;$C21</f>
        <v>A74 &gt; 496</v>
      </c>
      <c r="E21" s="26" t="s">
        <v>631</v>
      </c>
      <c r="F21" s="26" t="s">
        <v>16</v>
      </c>
      <c r="G21" s="26" t="s">
        <v>18</v>
      </c>
      <c r="H21" s="47" t="n">
        <v>46165</v>
      </c>
      <c r="I21" s="26" t="s">
        <v>88</v>
      </c>
      <c r="J21" s="6" t="s">
        <v>376</v>
      </c>
      <c r="K21" s="26" t="s">
        <v>632</v>
      </c>
    </row>
    <row r="22" customFormat="false" ht="15" hidden="false" customHeight="true" outlineLevel="0" collapsed="false">
      <c r="A22" s="26" t="n">
        <v>18</v>
      </c>
      <c r="B22" s="5" t="s">
        <v>531</v>
      </c>
      <c r="C22" s="5" t="s">
        <v>530</v>
      </c>
      <c r="D22" s="8" t="str">
        <f aca="false">$B22&amp;" &gt; "&amp;$C22</f>
        <v>F17 &gt; 489</v>
      </c>
      <c r="E22" s="26" t="s">
        <v>633</v>
      </c>
      <c r="F22" s="26" t="s">
        <v>16</v>
      </c>
      <c r="G22" s="26" t="s">
        <v>18</v>
      </c>
      <c r="H22" s="47" t="n">
        <v>46135</v>
      </c>
      <c r="I22" s="26" t="s">
        <v>89</v>
      </c>
      <c r="J22" s="26" t="s">
        <v>381</v>
      </c>
      <c r="K22" s="26"/>
    </row>
    <row r="23" customFormat="false" ht="15" hidden="false" customHeight="true" outlineLevel="0" collapsed="false">
      <c r="A23" s="26" t="n">
        <v>19</v>
      </c>
      <c r="B23" s="5" t="s">
        <v>525</v>
      </c>
      <c r="C23" s="5" t="s">
        <v>524</v>
      </c>
      <c r="D23" s="8" t="str">
        <f aca="false">$B23&amp;" &gt; "&amp;$C23</f>
        <v>F15 &gt; 498</v>
      </c>
      <c r="E23" s="26" t="s">
        <v>634</v>
      </c>
      <c r="F23" s="26" t="s">
        <v>16</v>
      </c>
      <c r="G23" s="26" t="s">
        <v>18</v>
      </c>
      <c r="H23" s="47" t="n">
        <v>46133</v>
      </c>
      <c r="I23" s="26" t="s">
        <v>90</v>
      </c>
      <c r="J23" s="26" t="s">
        <v>381</v>
      </c>
      <c r="K23" s="26"/>
    </row>
    <row r="24" customFormat="false" ht="15" hidden="false" customHeight="true" outlineLevel="0" collapsed="false">
      <c r="A24" s="26" t="n">
        <v>20</v>
      </c>
      <c r="B24" s="5" t="s">
        <v>559</v>
      </c>
      <c r="C24" s="5" t="s">
        <v>558</v>
      </c>
      <c r="D24" s="8" t="str">
        <f aca="false">$B24&amp;" &gt; "&amp;$C24</f>
        <v>A57 &gt; 220</v>
      </c>
      <c r="E24" s="26" t="s">
        <v>635</v>
      </c>
      <c r="F24" s="26" t="s">
        <v>626</v>
      </c>
      <c r="G24" s="26" t="s">
        <v>15</v>
      </c>
      <c r="H24" s="47" t="n">
        <v>46165</v>
      </c>
      <c r="I24" s="26" t="s">
        <v>91</v>
      </c>
      <c r="J24" s="26" t="s">
        <v>381</v>
      </c>
      <c r="K24" s="26"/>
    </row>
    <row r="25" customFormat="false" ht="15" hidden="false" customHeight="true" outlineLevel="0" collapsed="false">
      <c r="A25" s="26" t="n">
        <v>21</v>
      </c>
      <c r="B25" s="5" t="s">
        <v>505</v>
      </c>
      <c r="C25" s="5" t="s">
        <v>504</v>
      </c>
      <c r="D25" s="8" t="str">
        <f aca="false">$B25&amp;" &gt; "&amp;$C25</f>
        <v>F08 &gt; 217</v>
      </c>
      <c r="E25" s="26" t="s">
        <v>636</v>
      </c>
      <c r="F25" s="26" t="s">
        <v>302</v>
      </c>
      <c r="G25" s="26" t="s">
        <v>15</v>
      </c>
      <c r="H25" s="47" t="n">
        <v>46123</v>
      </c>
      <c r="I25" s="26" t="s">
        <v>92</v>
      </c>
      <c r="J25" s="26" t="s">
        <v>381</v>
      </c>
      <c r="K25" s="26"/>
    </row>
    <row r="26" customFormat="false" ht="15" hidden="false" customHeight="true" outlineLevel="0" collapsed="false">
      <c r="A26" s="26" t="n">
        <v>22</v>
      </c>
      <c r="B26" s="5" t="s">
        <v>545</v>
      </c>
      <c r="C26" s="5" t="s">
        <v>544</v>
      </c>
      <c r="D26" s="8" t="str">
        <f aca="false">$B26&amp;" &gt; "&amp;$C26</f>
        <v>F24 &gt; 484</v>
      </c>
      <c r="E26" s="26" t="s">
        <v>637</v>
      </c>
      <c r="F26" s="26" t="s">
        <v>16</v>
      </c>
      <c r="G26" s="26" t="s">
        <v>18</v>
      </c>
      <c r="H26" s="47" t="n">
        <v>46153</v>
      </c>
      <c r="I26" s="26" t="s">
        <v>90</v>
      </c>
      <c r="J26" s="26" t="s">
        <v>381</v>
      </c>
      <c r="K26" s="26"/>
    </row>
    <row r="27" customFormat="false" ht="15" hidden="false" customHeight="true" outlineLevel="0" collapsed="false">
      <c r="A27" s="26" t="n">
        <v>23</v>
      </c>
      <c r="B27" s="5" t="s">
        <v>528</v>
      </c>
      <c r="C27" s="5" t="s">
        <v>527</v>
      </c>
      <c r="D27" s="8" t="str">
        <f aca="false">$B27&amp;" &gt; "&amp;$C27</f>
        <v>F16 &gt; 500</v>
      </c>
      <c r="E27" s="26" t="s">
        <v>638</v>
      </c>
      <c r="F27" s="26" t="s">
        <v>16</v>
      </c>
      <c r="G27" s="26" t="s">
        <v>18</v>
      </c>
      <c r="H27" s="47" t="n">
        <v>46133</v>
      </c>
      <c r="I27" s="26" t="s">
        <v>90</v>
      </c>
      <c r="J27" s="26" t="s">
        <v>381</v>
      </c>
      <c r="K27" s="26"/>
    </row>
    <row r="28" customFormat="false" ht="15" hidden="false" customHeight="true" outlineLevel="0" collapsed="false">
      <c r="A28" s="26" t="n">
        <v>24</v>
      </c>
      <c r="B28" s="5" t="s">
        <v>556</v>
      </c>
      <c r="C28" s="5" t="s">
        <v>555</v>
      </c>
      <c r="D28" s="8" t="str">
        <f aca="false">$B28&amp;" &gt; "&amp;$C28</f>
        <v>A56 &gt; 208</v>
      </c>
      <c r="E28" s="26" t="s">
        <v>639</v>
      </c>
      <c r="F28" s="26" t="s">
        <v>626</v>
      </c>
      <c r="G28" s="26" t="s">
        <v>15</v>
      </c>
      <c r="H28" s="47" t="n">
        <v>46165</v>
      </c>
      <c r="I28" s="26" t="s">
        <v>91</v>
      </c>
      <c r="J28" s="26" t="s">
        <v>381</v>
      </c>
      <c r="K28" s="26"/>
    </row>
    <row r="29" customFormat="false" ht="15" hidden="false" customHeight="true" outlineLevel="0" collapsed="false">
      <c r="A29" s="26" t="n">
        <v>25</v>
      </c>
      <c r="B29" s="5" t="s">
        <v>534</v>
      </c>
      <c r="C29" s="5" t="s">
        <v>533</v>
      </c>
      <c r="D29" s="8" t="str">
        <f aca="false">$B29&amp;" &gt; "&amp;$C29</f>
        <v>F18 &gt; 409</v>
      </c>
      <c r="E29" s="26" t="s">
        <v>640</v>
      </c>
      <c r="F29" s="26" t="s">
        <v>16</v>
      </c>
      <c r="G29" s="26" t="s">
        <v>18</v>
      </c>
      <c r="H29" s="47" t="n">
        <v>46135</v>
      </c>
      <c r="I29" s="26" t="s">
        <v>89</v>
      </c>
      <c r="J29" s="26" t="s">
        <v>381</v>
      </c>
      <c r="K29" s="26"/>
    </row>
    <row r="30" customFormat="false" ht="15" hidden="false" customHeight="true" outlineLevel="0" collapsed="false">
      <c r="A30" s="26" t="n">
        <v>26</v>
      </c>
      <c r="B30" s="5" t="s">
        <v>507</v>
      </c>
      <c r="C30" s="5" t="s">
        <v>323</v>
      </c>
      <c r="D30" s="8" t="str">
        <f aca="false">$B30&amp;" &gt; "&amp;$C30</f>
        <v>F09 &gt; 099</v>
      </c>
      <c r="E30" s="26" t="s">
        <v>355</v>
      </c>
      <c r="F30" s="26" t="s">
        <v>353</v>
      </c>
      <c r="G30" s="26" t="s">
        <v>132</v>
      </c>
      <c r="H30" s="47" t="n">
        <v>46123</v>
      </c>
      <c r="I30" s="26" t="s">
        <v>92</v>
      </c>
      <c r="J30" s="7" t="s">
        <v>426</v>
      </c>
      <c r="K30" s="26" t="s">
        <v>641</v>
      </c>
    </row>
    <row r="31" customFormat="false" ht="15" hidden="false" customHeight="true" outlineLevel="0" collapsed="false">
      <c r="A31" s="26" t="n">
        <v>27</v>
      </c>
      <c r="B31" s="5" t="s">
        <v>602</v>
      </c>
      <c r="C31" s="5" t="s">
        <v>601</v>
      </c>
      <c r="D31" s="8" t="str">
        <f aca="false">$B31&amp;" &gt; "&amp;$C31</f>
        <v>A88 &gt; 219</v>
      </c>
      <c r="E31" s="26" t="s">
        <v>642</v>
      </c>
      <c r="F31" s="26" t="s">
        <v>302</v>
      </c>
      <c r="G31" s="26" t="s">
        <v>15</v>
      </c>
      <c r="H31" s="47" t="n">
        <v>46189</v>
      </c>
      <c r="I31" s="26" t="s">
        <v>92</v>
      </c>
      <c r="J31" s="26" t="s">
        <v>381</v>
      </c>
      <c r="K31" s="26"/>
    </row>
    <row r="32" customFormat="false" ht="15" hidden="false" customHeight="true" outlineLevel="0" collapsed="false">
      <c r="A32" s="26" t="n">
        <v>28</v>
      </c>
      <c r="B32" s="5" t="s">
        <v>573</v>
      </c>
      <c r="C32" s="5" t="s">
        <v>572</v>
      </c>
      <c r="D32" s="8" t="str">
        <f aca="false">$B32&amp;" &gt; "&amp;$C32</f>
        <v>A81 &gt; 224</v>
      </c>
      <c r="E32" s="26" t="s">
        <v>643</v>
      </c>
      <c r="F32" s="26" t="s">
        <v>302</v>
      </c>
      <c r="G32" s="26" t="s">
        <v>15</v>
      </c>
      <c r="H32" s="47" t="n">
        <v>46167</v>
      </c>
      <c r="I32" s="26" t="s">
        <v>92</v>
      </c>
      <c r="J32" s="26" t="s">
        <v>381</v>
      </c>
      <c r="K32" s="26"/>
    </row>
    <row r="33" customFormat="false" ht="15" hidden="false" customHeight="true" outlineLevel="0" collapsed="false">
      <c r="A33" s="26" t="n">
        <v>29</v>
      </c>
      <c r="B33" s="5" t="s">
        <v>588</v>
      </c>
      <c r="C33" s="5" t="s">
        <v>587</v>
      </c>
      <c r="D33" s="8" t="str">
        <f aca="false">$B33&amp;" &gt; "&amp;$C33</f>
        <v>A82 &gt; 285</v>
      </c>
      <c r="E33" s="26" t="s">
        <v>644</v>
      </c>
      <c r="F33" s="26" t="s">
        <v>302</v>
      </c>
      <c r="G33" s="26" t="s">
        <v>15</v>
      </c>
      <c r="H33" s="47" t="n">
        <v>46177</v>
      </c>
      <c r="I33" s="26" t="s">
        <v>92</v>
      </c>
      <c r="J33" s="26" t="s">
        <v>381</v>
      </c>
      <c r="K33" s="26"/>
    </row>
    <row r="34" customFormat="false" ht="15" hidden="false" customHeight="true" outlineLevel="0" collapsed="false">
      <c r="A34" s="26" t="n">
        <v>30</v>
      </c>
      <c r="B34" s="5" t="s">
        <v>578</v>
      </c>
      <c r="C34" s="5" t="s">
        <v>577</v>
      </c>
      <c r="D34" s="8" t="str">
        <f aca="false">$B34&amp;" &gt; "&amp;$C34</f>
        <v>A76 &gt; 214</v>
      </c>
      <c r="E34" s="26" t="s">
        <v>645</v>
      </c>
      <c r="F34" s="26" t="s">
        <v>302</v>
      </c>
      <c r="G34" s="26" t="s">
        <v>15</v>
      </c>
      <c r="H34" s="47" t="n">
        <v>46170</v>
      </c>
      <c r="I34" s="26" t="s">
        <v>92</v>
      </c>
      <c r="J34" s="26" t="s">
        <v>381</v>
      </c>
      <c r="K34" s="26"/>
    </row>
    <row r="35" customFormat="false" ht="15" hidden="false" customHeight="true" outlineLevel="0" collapsed="false">
      <c r="A35" s="26" t="n">
        <v>31</v>
      </c>
      <c r="B35" s="5" t="s">
        <v>595</v>
      </c>
      <c r="C35" s="5" t="s">
        <v>255</v>
      </c>
      <c r="D35" s="8" t="str">
        <f aca="false">$B35&amp;" &gt; "&amp;$C35</f>
        <v>A85 &gt; 292</v>
      </c>
      <c r="E35" s="26" t="s">
        <v>594</v>
      </c>
      <c r="F35" s="26" t="s">
        <v>302</v>
      </c>
      <c r="G35" s="26" t="s">
        <v>15</v>
      </c>
      <c r="H35" s="47" t="n">
        <v>46179</v>
      </c>
      <c r="I35" s="26" t="s">
        <v>92</v>
      </c>
      <c r="J35" s="26" t="s">
        <v>381</v>
      </c>
      <c r="K35" s="26"/>
    </row>
    <row r="36" customFormat="false" ht="15" hidden="false" customHeight="true" outlineLevel="0" collapsed="false">
      <c r="A36" s="26" t="n">
        <v>32</v>
      </c>
      <c r="B36" s="5" t="s">
        <v>646</v>
      </c>
      <c r="C36" s="5" t="s">
        <v>647</v>
      </c>
      <c r="D36" s="8" t="str">
        <f aca="false">$B36&amp;" &gt; "&amp;$C36</f>
        <v>A90 &gt; 293</v>
      </c>
      <c r="E36" s="26"/>
      <c r="F36" s="26" t="s">
        <v>302</v>
      </c>
      <c r="G36" s="26"/>
      <c r="H36" s="26"/>
      <c r="I36" s="26"/>
      <c r="J36" s="26" t="s">
        <v>381</v>
      </c>
      <c r="K36" s="26"/>
    </row>
    <row r="37" customFormat="false" ht="15" hidden="false" customHeight="true" outlineLevel="0" collapsed="false">
      <c r="A37" s="26" t="n">
        <v>33</v>
      </c>
      <c r="B37" s="5" t="s">
        <v>648</v>
      </c>
      <c r="C37" s="5" t="s">
        <v>263</v>
      </c>
      <c r="D37" s="8" t="str">
        <f aca="false">$B37&amp;" &gt; "&amp;$C37</f>
        <v>A89 &gt; 291</v>
      </c>
      <c r="E37" s="26"/>
      <c r="F37" s="26" t="s">
        <v>302</v>
      </c>
      <c r="G37" s="26"/>
      <c r="H37" s="26"/>
      <c r="I37" s="26"/>
      <c r="J37" s="26" t="s">
        <v>381</v>
      </c>
      <c r="K37" s="26"/>
    </row>
    <row r="38" customFormat="false" ht="15" hidden="false" customHeight="true" outlineLevel="0" collapsed="false">
      <c r="A38" s="26" t="n">
        <v>34</v>
      </c>
      <c r="B38" s="5" t="s">
        <v>599</v>
      </c>
      <c r="C38" s="5" t="s">
        <v>598</v>
      </c>
      <c r="D38" s="8" t="str">
        <f aca="false">$B38&amp;" &gt; "&amp;$C38</f>
        <v>A87 &gt; 479</v>
      </c>
      <c r="E38" s="26" t="s">
        <v>649</v>
      </c>
      <c r="F38" s="26" t="s">
        <v>16</v>
      </c>
      <c r="G38" s="26" t="s">
        <v>18</v>
      </c>
      <c r="H38" s="47" t="n">
        <v>46188</v>
      </c>
      <c r="I38" s="26" t="s">
        <v>88</v>
      </c>
      <c r="J38" s="26" t="s">
        <v>381</v>
      </c>
      <c r="K38" s="26"/>
    </row>
    <row r="39" customFormat="false" ht="15" hidden="false" customHeight="true" outlineLevel="0" collapsed="false">
      <c r="A39" s="26" t="n">
        <v>35</v>
      </c>
      <c r="B39" s="5" t="s">
        <v>586</v>
      </c>
      <c r="C39" s="5" t="s">
        <v>585</v>
      </c>
      <c r="D39" s="8" t="str">
        <f aca="false">$B39&amp;" &gt; "&amp;$C39</f>
        <v>A79 &gt; 309</v>
      </c>
      <c r="E39" s="26" t="s">
        <v>650</v>
      </c>
      <c r="F39" s="26" t="s">
        <v>15</v>
      </c>
      <c r="G39" s="26" t="s">
        <v>16</v>
      </c>
      <c r="H39" s="47" t="n">
        <v>46170</v>
      </c>
      <c r="I39" s="26" t="s">
        <v>92</v>
      </c>
      <c r="J39" s="26" t="s">
        <v>381</v>
      </c>
      <c r="K39" s="26"/>
    </row>
    <row r="40" customFormat="false" ht="15" hidden="false" customHeight="true" outlineLevel="0" collapsed="false">
      <c r="A40" s="26" t="n">
        <v>36</v>
      </c>
      <c r="B40" s="5" t="s">
        <v>576</v>
      </c>
      <c r="C40" s="5" t="s">
        <v>575</v>
      </c>
      <c r="D40" s="8" t="str">
        <f aca="false">$B40&amp;" &gt; "&amp;$C40</f>
        <v>A75 &gt; 295</v>
      </c>
      <c r="E40" s="26" t="s">
        <v>651</v>
      </c>
      <c r="F40" s="26" t="s">
        <v>302</v>
      </c>
      <c r="G40" s="26" t="s">
        <v>15</v>
      </c>
      <c r="H40" s="47" t="n">
        <v>46169</v>
      </c>
      <c r="I40" s="26" t="s">
        <v>92</v>
      </c>
      <c r="J40" s="26" t="s">
        <v>381</v>
      </c>
      <c r="K40" s="26"/>
    </row>
    <row r="41" customFormat="false" ht="15" hidden="false" customHeight="true" outlineLevel="0" collapsed="false">
      <c r="A41" s="26" t="n">
        <v>37</v>
      </c>
      <c r="B41" s="5" t="s">
        <v>552</v>
      </c>
      <c r="C41" s="5" t="s">
        <v>551</v>
      </c>
      <c r="D41" s="8" t="str">
        <f aca="false">$B41&amp;" &gt; "&amp;$C41</f>
        <v>A53 &gt; 388</v>
      </c>
      <c r="E41" s="26" t="s">
        <v>652</v>
      </c>
      <c r="F41" s="26" t="s">
        <v>15</v>
      </c>
      <c r="G41" s="26" t="s">
        <v>16</v>
      </c>
      <c r="H41" s="47" t="n">
        <v>46162</v>
      </c>
      <c r="I41" s="26" t="s">
        <v>92</v>
      </c>
      <c r="J41" s="26" t="s">
        <v>381</v>
      </c>
      <c r="K41" s="26"/>
    </row>
    <row r="42" customFormat="false" ht="15" hidden="false" customHeight="true" outlineLevel="0" collapsed="false">
      <c r="A42" s="26" t="n">
        <v>38</v>
      </c>
      <c r="B42" s="5" t="s">
        <v>581</v>
      </c>
      <c r="C42" s="5" t="s">
        <v>580</v>
      </c>
      <c r="D42" s="8" t="str">
        <f aca="false">$B42&amp;" &gt; "&amp;$C42</f>
        <v>A77 &gt; 210</v>
      </c>
      <c r="E42" s="26" t="s">
        <v>653</v>
      </c>
      <c r="F42" s="26" t="s">
        <v>302</v>
      </c>
      <c r="G42" s="26" t="s">
        <v>15</v>
      </c>
      <c r="H42" s="47" t="n">
        <v>46170</v>
      </c>
      <c r="I42" s="26" t="s">
        <v>92</v>
      </c>
      <c r="J42" s="26" t="s">
        <v>381</v>
      </c>
      <c r="K42" s="26"/>
    </row>
    <row r="43" customFormat="false" ht="15" hidden="false" customHeight="true" outlineLevel="0" collapsed="false">
      <c r="A43" s="26" t="n">
        <v>39</v>
      </c>
      <c r="B43" s="5" t="s">
        <v>591</v>
      </c>
      <c r="C43" s="5" t="s">
        <v>590</v>
      </c>
      <c r="D43" s="8" t="str">
        <f aca="false">$B43&amp;" &gt; "&amp;$C43</f>
        <v>A83 &gt; 294</v>
      </c>
      <c r="E43" s="26" t="s">
        <v>654</v>
      </c>
      <c r="F43" s="26" t="s">
        <v>302</v>
      </c>
      <c r="G43" s="26" t="s">
        <v>15</v>
      </c>
      <c r="H43" s="47" t="n">
        <v>46177</v>
      </c>
      <c r="I43" s="26" t="s">
        <v>92</v>
      </c>
      <c r="J43" s="26" t="s">
        <v>381</v>
      </c>
      <c r="K43" s="26"/>
    </row>
    <row r="44" customFormat="false" ht="15" hidden="false" customHeight="true" outlineLevel="0" collapsed="false">
      <c r="A44" s="26" t="n">
        <v>40</v>
      </c>
      <c r="B44" s="5" t="s">
        <v>547</v>
      </c>
      <c r="C44" s="5" t="s">
        <v>287</v>
      </c>
      <c r="D44" s="8" t="str">
        <f aca="false">$B44&amp;" &gt; "&amp;$C44</f>
        <v>A51 &gt; 286</v>
      </c>
      <c r="E44" s="26" t="s">
        <v>546</v>
      </c>
      <c r="F44" s="26" t="s">
        <v>302</v>
      </c>
      <c r="G44" s="26" t="s">
        <v>15</v>
      </c>
      <c r="H44" s="47" t="n">
        <v>46160</v>
      </c>
      <c r="I44" s="26" t="s">
        <v>92</v>
      </c>
      <c r="J44" s="26" t="s">
        <v>381</v>
      </c>
      <c r="K44" s="26"/>
    </row>
    <row r="45" customFormat="false" ht="15" hidden="false" customHeight="true" outlineLevel="0" collapsed="false">
      <c r="A45" s="26" t="n">
        <v>41</v>
      </c>
      <c r="B45" s="5" t="s">
        <v>593</v>
      </c>
      <c r="C45" s="5" t="s">
        <v>251</v>
      </c>
      <c r="D45" s="8" t="str">
        <f aca="false">$B45&amp;" &gt; "&amp;$C45</f>
        <v>A84 &gt; 213</v>
      </c>
      <c r="E45" s="26" t="s">
        <v>592</v>
      </c>
      <c r="F45" s="26" t="s">
        <v>302</v>
      </c>
      <c r="G45" s="26" t="s">
        <v>15</v>
      </c>
      <c r="H45" s="47" t="n">
        <v>46179</v>
      </c>
      <c r="I45" s="26" t="s">
        <v>92</v>
      </c>
      <c r="J45" s="26" t="s">
        <v>381</v>
      </c>
      <c r="K45" s="26"/>
    </row>
    <row r="46" customFormat="false" ht="15" hidden="false" customHeight="true" outlineLevel="0" collapsed="false">
      <c r="A46" s="26" t="n">
        <v>42</v>
      </c>
      <c r="B46" s="5" t="s">
        <v>549</v>
      </c>
      <c r="C46" s="5" t="s">
        <v>548</v>
      </c>
      <c r="D46" s="8" t="str">
        <f aca="false">$B46&amp;" &gt; "&amp;$C46</f>
        <v>A52 &gt; 215</v>
      </c>
      <c r="E46" s="26" t="s">
        <v>655</v>
      </c>
      <c r="F46" s="26" t="s">
        <v>656</v>
      </c>
      <c r="G46" s="26" t="s">
        <v>15</v>
      </c>
      <c r="H46" s="47" t="n">
        <v>46160</v>
      </c>
      <c r="I46" s="26" t="s">
        <v>92</v>
      </c>
      <c r="J46" s="6" t="s">
        <v>376</v>
      </c>
      <c r="K46" s="26" t="s">
        <v>657</v>
      </c>
    </row>
    <row r="47" customFormat="false" ht="15" hidden="false" customHeight="true" outlineLevel="0" collapsed="false">
      <c r="A47" s="26" t="n">
        <v>43</v>
      </c>
      <c r="B47" s="5" t="s">
        <v>569</v>
      </c>
      <c r="C47" s="5" t="s">
        <v>568</v>
      </c>
      <c r="D47" s="8" t="str">
        <f aca="false">$B47&amp;" &gt; "&amp;$C47</f>
        <v>A80 &gt; 236</v>
      </c>
      <c r="E47" s="26" t="s">
        <v>658</v>
      </c>
      <c r="F47" s="26" t="s">
        <v>302</v>
      </c>
      <c r="G47" s="26" t="s">
        <v>15</v>
      </c>
      <c r="H47" s="47" t="n">
        <v>46167</v>
      </c>
      <c r="I47" s="26" t="s">
        <v>92</v>
      </c>
      <c r="J47" s="26" t="s">
        <v>381</v>
      </c>
      <c r="K47" s="26"/>
    </row>
    <row r="48" customFormat="false" ht="15" hidden="false" customHeight="true" outlineLevel="0" collapsed="false">
      <c r="A48" s="26" t="n">
        <v>44</v>
      </c>
      <c r="B48" s="5" t="s">
        <v>604</v>
      </c>
      <c r="C48" s="5" t="s">
        <v>603</v>
      </c>
      <c r="D48" s="8" t="str">
        <f aca="false">$B48&amp;" &gt; "&amp;$C48</f>
        <v>A91 &gt; 411</v>
      </c>
      <c r="E48" s="26" t="s">
        <v>659</v>
      </c>
      <c r="F48" s="26" t="s">
        <v>16</v>
      </c>
      <c r="G48" s="26" t="s">
        <v>18</v>
      </c>
      <c r="H48" s="47" t="n">
        <v>46216</v>
      </c>
      <c r="I48" s="26" t="s">
        <v>89</v>
      </c>
      <c r="J48" s="26" t="s">
        <v>381</v>
      </c>
      <c r="K48" s="26"/>
    </row>
    <row r="49" customFormat="false" ht="15" hidden="false" customHeight="true" outlineLevel="0" collapsed="false">
      <c r="A49" s="26" t="n">
        <v>45</v>
      </c>
      <c r="B49" s="5" t="s">
        <v>584</v>
      </c>
      <c r="C49" s="5" t="s">
        <v>583</v>
      </c>
      <c r="D49" s="8" t="str">
        <f aca="false">$B49&amp;" &gt; "&amp;$C49</f>
        <v>A78 &gt; 306</v>
      </c>
      <c r="E49" s="26" t="s">
        <v>660</v>
      </c>
      <c r="F49" s="26" t="s">
        <v>15</v>
      </c>
      <c r="G49" s="26" t="s">
        <v>16</v>
      </c>
      <c r="H49" s="47" t="n">
        <v>46170</v>
      </c>
      <c r="I49" s="26" t="s">
        <v>92</v>
      </c>
      <c r="J49" s="26" t="s">
        <v>381</v>
      </c>
      <c r="K49" s="26"/>
    </row>
    <row r="50" customFormat="false" ht="15" hidden="false" customHeight="true" outlineLevel="0" collapsed="false">
      <c r="A50" s="26" t="n">
        <v>46</v>
      </c>
      <c r="B50" s="5" t="s">
        <v>597</v>
      </c>
      <c r="C50" s="5" t="s">
        <v>596</v>
      </c>
      <c r="D50" s="8" t="str">
        <f aca="false">$B50&amp;" &gt; "&amp;$C50</f>
        <v>A86 &gt; 486</v>
      </c>
      <c r="E50" s="26" t="s">
        <v>661</v>
      </c>
      <c r="F50" s="26" t="s">
        <v>16</v>
      </c>
      <c r="G50" s="26" t="s">
        <v>18</v>
      </c>
      <c r="H50" s="47" t="n">
        <v>46181</v>
      </c>
      <c r="I50" s="26" t="s">
        <v>90</v>
      </c>
      <c r="J50" s="26" t="s">
        <v>381</v>
      </c>
      <c r="K50" s="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"/>
    <col collapsed="false" customWidth="true" hidden="false" outlineLevel="0" max="3" min="3" style="1" width="24"/>
    <col collapsed="false" customWidth="true" hidden="false" outlineLevel="0" max="4" min="4" style="1" width="62"/>
    <col collapsed="false" customWidth="true" hidden="false" outlineLevel="0" max="5" min="5" style="1" width="40"/>
    <col collapsed="false" customWidth="true" hidden="false" outlineLevel="0" max="6" min="6" style="1" width="52"/>
  </cols>
  <sheetData>
    <row r="1" customFormat="false" ht="17.25" hidden="false" customHeight="true" outlineLevel="0" collapsed="false">
      <c r="A1" s="37" t="s">
        <v>662</v>
      </c>
    </row>
    <row r="2" customFormat="false" ht="15" hidden="false" customHeight="true" outlineLevel="0" collapsed="false">
      <c r="A2" s="48" t="s">
        <v>663</v>
      </c>
    </row>
    <row r="4" customFormat="false" ht="15" hidden="false" customHeight="true" outlineLevel="0" collapsed="false">
      <c r="A4" s="35" t="s">
        <v>212</v>
      </c>
      <c r="B4" s="35" t="s">
        <v>664</v>
      </c>
      <c r="C4" s="35" t="s">
        <v>665</v>
      </c>
      <c r="D4" s="35" t="s">
        <v>666</v>
      </c>
      <c r="E4" s="35" t="s">
        <v>667</v>
      </c>
      <c r="F4" s="35" t="s">
        <v>668</v>
      </c>
    </row>
    <row r="5" customFormat="false" ht="15" hidden="false" customHeight="true" outlineLevel="0" collapsed="false">
      <c r="A5" s="26" t="n">
        <v>1</v>
      </c>
      <c r="B5" s="26" t="n">
        <v>1</v>
      </c>
      <c r="C5" s="16" t="s">
        <v>669</v>
      </c>
      <c r="D5" s="26" t="s">
        <v>669</v>
      </c>
      <c r="E5" s="26" t="s">
        <v>670</v>
      </c>
      <c r="F5" s="5"/>
    </row>
    <row r="6" customFormat="false" ht="15" hidden="false" customHeight="true" outlineLevel="0" collapsed="false">
      <c r="A6" s="26" t="n">
        <v>2</v>
      </c>
      <c r="B6" s="26" t="n">
        <v>2</v>
      </c>
      <c r="C6" s="16" t="s">
        <v>671</v>
      </c>
      <c r="D6" s="26" t="s">
        <v>672</v>
      </c>
      <c r="E6" s="26" t="s">
        <v>673</v>
      </c>
      <c r="F6" s="5"/>
    </row>
    <row r="7" customFormat="false" ht="15" hidden="false" customHeight="true" outlineLevel="0" collapsed="false">
      <c r="A7" s="26" t="n">
        <v>3</v>
      </c>
      <c r="B7" s="26" t="n">
        <v>3</v>
      </c>
      <c r="C7" s="26" t="s">
        <v>674</v>
      </c>
      <c r="D7" s="26" t="s">
        <v>675</v>
      </c>
      <c r="E7" s="26" t="s">
        <v>676</v>
      </c>
      <c r="F7" s="5"/>
    </row>
    <row r="8" customFormat="false" ht="15" hidden="false" customHeight="true" outlineLevel="0" collapsed="false">
      <c r="A8" s="26" t="n">
        <v>4</v>
      </c>
      <c r="B8" s="26" t="n">
        <v>3</v>
      </c>
      <c r="C8" s="26" t="s">
        <v>677</v>
      </c>
      <c r="D8" s="26" t="s">
        <v>678</v>
      </c>
      <c r="E8" s="26" t="s">
        <v>679</v>
      </c>
      <c r="F8" s="5"/>
    </row>
    <row r="9" customFormat="false" ht="15" hidden="false" customHeight="true" outlineLevel="0" collapsed="false">
      <c r="A9" s="26" t="n">
        <v>5</v>
      </c>
      <c r="B9" s="26" t="n">
        <v>3</v>
      </c>
      <c r="C9" s="26" t="s">
        <v>680</v>
      </c>
      <c r="D9" s="26" t="s">
        <v>681</v>
      </c>
      <c r="E9" s="26" t="s">
        <v>676</v>
      </c>
      <c r="F9" s="5"/>
    </row>
    <row r="10" customFormat="false" ht="15" hidden="false" customHeight="true" outlineLevel="0" collapsed="false">
      <c r="A10" s="26" t="n">
        <v>6</v>
      </c>
      <c r="B10" s="26" t="n">
        <v>3</v>
      </c>
      <c r="C10" s="26" t="s">
        <v>682</v>
      </c>
      <c r="D10" s="26" t="s">
        <v>683</v>
      </c>
      <c r="E10" s="26" t="s">
        <v>676</v>
      </c>
      <c r="F10" s="5"/>
    </row>
    <row r="11" customFormat="false" ht="15" hidden="false" customHeight="true" outlineLevel="0" collapsed="false">
      <c r="A11" s="26" t="n">
        <v>7</v>
      </c>
      <c r="B11" s="26" t="n">
        <v>3</v>
      </c>
      <c r="C11" s="26" t="s">
        <v>684</v>
      </c>
      <c r="D11" s="26" t="s">
        <v>685</v>
      </c>
      <c r="E11" s="26" t="s">
        <v>676</v>
      </c>
      <c r="F11" s="5"/>
    </row>
    <row r="12" customFormat="false" ht="15" hidden="false" customHeight="true" outlineLevel="0" collapsed="false">
      <c r="A12" s="26" t="n">
        <v>8</v>
      </c>
      <c r="B12" s="26" t="n">
        <v>3</v>
      </c>
      <c r="C12" s="26" t="s">
        <v>686</v>
      </c>
      <c r="D12" s="26" t="s">
        <v>687</v>
      </c>
      <c r="E12" s="26" t="s">
        <v>676</v>
      </c>
      <c r="F12" s="5"/>
    </row>
    <row r="13" customFormat="false" ht="15" hidden="false" customHeight="true" outlineLevel="0" collapsed="false">
      <c r="A13" s="26" t="n">
        <v>9</v>
      </c>
      <c r="B13" s="26" t="n">
        <v>3</v>
      </c>
      <c r="C13" s="26" t="s">
        <v>688</v>
      </c>
      <c r="D13" s="26" t="s">
        <v>689</v>
      </c>
      <c r="E13" s="26" t="s">
        <v>676</v>
      </c>
      <c r="F13" s="5"/>
    </row>
    <row r="14" customFormat="false" ht="15" hidden="false" customHeight="true" outlineLevel="0" collapsed="false">
      <c r="A14" s="26" t="n">
        <v>10</v>
      </c>
      <c r="B14" s="26" t="n">
        <v>3</v>
      </c>
      <c r="C14" s="26" t="s">
        <v>690</v>
      </c>
      <c r="D14" s="26" t="s">
        <v>691</v>
      </c>
      <c r="E14" s="26" t="s">
        <v>692</v>
      </c>
      <c r="F14" s="5"/>
    </row>
    <row r="15" customFormat="false" ht="15" hidden="false" customHeight="true" outlineLevel="0" collapsed="false">
      <c r="A15" s="26" t="n">
        <v>11</v>
      </c>
      <c r="B15" s="26" t="n">
        <v>3</v>
      </c>
      <c r="C15" s="26" t="s">
        <v>693</v>
      </c>
      <c r="D15" s="26" t="s">
        <v>694</v>
      </c>
      <c r="E15" s="26" t="s">
        <v>676</v>
      </c>
      <c r="F15" s="5"/>
    </row>
    <row r="16" customFormat="false" ht="15" hidden="false" customHeight="true" outlineLevel="0" collapsed="false">
      <c r="A16" s="26" t="n">
        <v>12</v>
      </c>
      <c r="B16" s="26" t="n">
        <v>3</v>
      </c>
      <c r="C16" s="26" t="s">
        <v>695</v>
      </c>
      <c r="D16" s="26" t="s">
        <v>696</v>
      </c>
      <c r="E16" s="26" t="s">
        <v>676</v>
      </c>
      <c r="F16" s="5"/>
    </row>
    <row r="17" customFormat="false" ht="15" hidden="false" customHeight="true" outlineLevel="0" collapsed="false">
      <c r="A17" s="26" t="n">
        <v>13</v>
      </c>
      <c r="B17" s="26" t="n">
        <v>3</v>
      </c>
      <c r="C17" s="26" t="s">
        <v>697</v>
      </c>
      <c r="D17" s="26" t="s">
        <v>698</v>
      </c>
      <c r="E17" s="26" t="s">
        <v>676</v>
      </c>
      <c r="F17" s="5"/>
    </row>
    <row r="18" customFormat="false" ht="15" hidden="false" customHeight="true" outlineLevel="0" collapsed="false">
      <c r="A18" s="26" t="n">
        <v>14</v>
      </c>
      <c r="B18" s="26" t="n">
        <v>3</v>
      </c>
      <c r="C18" s="26" t="s">
        <v>699</v>
      </c>
      <c r="D18" s="26" t="s">
        <v>700</v>
      </c>
      <c r="E18" s="26" t="s">
        <v>676</v>
      </c>
      <c r="F18" s="5"/>
    </row>
    <row r="19" customFormat="false" ht="15" hidden="false" customHeight="true" outlineLevel="0" collapsed="false">
      <c r="A19" s="26" t="n">
        <v>15</v>
      </c>
      <c r="B19" s="26" t="n">
        <v>3</v>
      </c>
      <c r="C19" s="26" t="s">
        <v>701</v>
      </c>
      <c r="D19" s="26" t="s">
        <v>702</v>
      </c>
      <c r="E19" s="26" t="s">
        <v>676</v>
      </c>
      <c r="F19" s="5"/>
    </row>
    <row r="20" customFormat="false" ht="15" hidden="false" customHeight="true" outlineLevel="0" collapsed="false">
      <c r="A20" s="26" t="n">
        <v>16</v>
      </c>
      <c r="B20" s="26" t="n">
        <v>3</v>
      </c>
      <c r="C20" s="26" t="s">
        <v>703</v>
      </c>
      <c r="D20" s="26" t="s">
        <v>704</v>
      </c>
      <c r="E20" s="26" t="s">
        <v>676</v>
      </c>
      <c r="F20" s="5"/>
    </row>
    <row r="21" customFormat="false" ht="15" hidden="false" customHeight="true" outlineLevel="0" collapsed="false">
      <c r="A21" s="26" t="n">
        <v>17</v>
      </c>
      <c r="B21" s="26" t="n">
        <v>3</v>
      </c>
      <c r="C21" s="26" t="s">
        <v>705</v>
      </c>
      <c r="D21" s="26" t="s">
        <v>706</v>
      </c>
      <c r="E21" s="26" t="s">
        <v>692</v>
      </c>
      <c r="F21" s="5"/>
    </row>
    <row r="22" customFormat="false" ht="15" hidden="false" customHeight="true" outlineLevel="0" collapsed="false">
      <c r="A22" s="26" t="n">
        <v>18</v>
      </c>
      <c r="B22" s="26" t="n">
        <v>3</v>
      </c>
      <c r="C22" s="26" t="s">
        <v>707</v>
      </c>
      <c r="D22" s="26" t="s">
        <v>708</v>
      </c>
      <c r="E22" s="26" t="s">
        <v>692</v>
      </c>
      <c r="F22" s="5"/>
    </row>
    <row r="23" customFormat="false" ht="15" hidden="false" customHeight="true" outlineLevel="0" collapsed="false">
      <c r="A23" s="26" t="n">
        <v>19</v>
      </c>
      <c r="B23" s="26" t="n">
        <v>3</v>
      </c>
      <c r="C23" s="26" t="s">
        <v>709</v>
      </c>
      <c r="D23" s="26" t="s">
        <v>710</v>
      </c>
      <c r="E23" s="26" t="s">
        <v>676</v>
      </c>
      <c r="F23" s="5"/>
    </row>
    <row r="24" customFormat="false" ht="15" hidden="false" customHeight="true" outlineLevel="0" collapsed="false">
      <c r="A24" s="26" t="n">
        <v>20</v>
      </c>
      <c r="B24" s="26" t="n">
        <v>3</v>
      </c>
      <c r="C24" s="26" t="s">
        <v>711</v>
      </c>
      <c r="D24" s="26" t="s">
        <v>712</v>
      </c>
      <c r="E24" s="26" t="s">
        <v>676</v>
      </c>
      <c r="F24" s="5"/>
    </row>
    <row r="25" customFormat="false" ht="15" hidden="false" customHeight="true" outlineLevel="0" collapsed="false">
      <c r="A25" s="26" t="n">
        <v>21</v>
      </c>
      <c r="B25" s="26" t="n">
        <v>3</v>
      </c>
      <c r="C25" s="26" t="s">
        <v>713</v>
      </c>
      <c r="D25" s="26" t="s">
        <v>714</v>
      </c>
      <c r="E25" s="26" t="s">
        <v>676</v>
      </c>
      <c r="F25" s="5"/>
    </row>
    <row r="26" customFormat="false" ht="15" hidden="false" customHeight="true" outlineLevel="0" collapsed="false">
      <c r="A26" s="26" t="n">
        <v>22</v>
      </c>
      <c r="B26" s="26" t="n">
        <v>3</v>
      </c>
      <c r="C26" s="26" t="s">
        <v>715</v>
      </c>
      <c r="D26" s="26" t="s">
        <v>716</v>
      </c>
      <c r="E26" s="26" t="s">
        <v>676</v>
      </c>
      <c r="F26" s="5"/>
    </row>
    <row r="27" customFormat="false" ht="15" hidden="false" customHeight="true" outlineLevel="0" collapsed="false">
      <c r="A27" s="26" t="n">
        <v>23</v>
      </c>
      <c r="B27" s="26" t="n">
        <v>3</v>
      </c>
      <c r="C27" s="26" t="s">
        <v>717</v>
      </c>
      <c r="D27" s="26" t="s">
        <v>718</v>
      </c>
      <c r="E27" s="26" t="s">
        <v>692</v>
      </c>
      <c r="F27" s="5"/>
    </row>
    <row r="28" customFormat="false" ht="15" hidden="false" customHeight="true" outlineLevel="0" collapsed="false">
      <c r="A28" s="26" t="n">
        <v>24</v>
      </c>
      <c r="B28" s="26" t="n">
        <v>3</v>
      </c>
      <c r="C28" s="26" t="s">
        <v>719</v>
      </c>
      <c r="D28" s="26" t="s">
        <v>720</v>
      </c>
      <c r="E28" s="26" t="s">
        <v>692</v>
      </c>
      <c r="F28" s="5"/>
    </row>
    <row r="29" customFormat="false" ht="15" hidden="false" customHeight="true" outlineLevel="0" collapsed="false">
      <c r="A29" s="26" t="n">
        <v>25</v>
      </c>
      <c r="B29" s="26" t="n">
        <v>3</v>
      </c>
      <c r="C29" s="26" t="s">
        <v>721</v>
      </c>
      <c r="D29" s="26" t="s">
        <v>722</v>
      </c>
      <c r="E29" s="26" t="s">
        <v>692</v>
      </c>
      <c r="F29" s="5"/>
    </row>
    <row r="30" customFormat="false" ht="15" hidden="false" customHeight="true" outlineLevel="0" collapsed="false">
      <c r="A30" s="26" t="n">
        <v>26</v>
      </c>
      <c r="B30" s="26" t="n">
        <v>3</v>
      </c>
      <c r="C30" s="26" t="s">
        <v>723</v>
      </c>
      <c r="D30" s="26" t="s">
        <v>724</v>
      </c>
      <c r="E30" s="26" t="s">
        <v>725</v>
      </c>
      <c r="F30" s="5"/>
    </row>
    <row r="31" customFormat="false" ht="15" hidden="false" customHeight="true" outlineLevel="0" collapsed="false">
      <c r="A31" s="26" t="n">
        <v>27</v>
      </c>
      <c r="B31" s="26" t="n">
        <v>3</v>
      </c>
      <c r="C31" s="26" t="s">
        <v>726</v>
      </c>
      <c r="D31" s="26" t="s">
        <v>727</v>
      </c>
      <c r="E31" s="26" t="s">
        <v>728</v>
      </c>
      <c r="F31" s="5"/>
    </row>
    <row r="32" customFormat="false" ht="15" hidden="false" customHeight="true" outlineLevel="0" collapsed="false">
      <c r="A32" s="26" t="n">
        <v>28</v>
      </c>
      <c r="B32" s="26" t="n">
        <v>3</v>
      </c>
      <c r="C32" s="26" t="s">
        <v>729</v>
      </c>
      <c r="D32" s="26" t="s">
        <v>730</v>
      </c>
      <c r="E32" s="26" t="s">
        <v>676</v>
      </c>
      <c r="F32" s="5"/>
    </row>
    <row r="33" customFormat="false" ht="15" hidden="false" customHeight="true" outlineLevel="0" collapsed="false">
      <c r="A33" s="26" t="n">
        <v>29</v>
      </c>
      <c r="B33" s="26" t="n">
        <v>3</v>
      </c>
      <c r="C33" s="26" t="s">
        <v>731</v>
      </c>
      <c r="D33" s="26" t="s">
        <v>732</v>
      </c>
      <c r="E33" s="26" t="s">
        <v>725</v>
      </c>
      <c r="F33" s="5"/>
    </row>
    <row r="34" customFormat="false" ht="15" hidden="false" customHeight="true" outlineLevel="0" collapsed="false">
      <c r="A34" s="26" t="n">
        <v>30</v>
      </c>
      <c r="B34" s="26" t="n">
        <v>3</v>
      </c>
      <c r="C34" s="26" t="s">
        <v>733</v>
      </c>
      <c r="D34" s="26" t="s">
        <v>734</v>
      </c>
      <c r="E34" s="26" t="s">
        <v>676</v>
      </c>
      <c r="F34" s="5"/>
    </row>
    <row r="35" customFormat="false" ht="15" hidden="false" customHeight="true" outlineLevel="0" collapsed="false">
      <c r="A35" s="26" t="n">
        <v>31</v>
      </c>
      <c r="B35" s="26" t="n">
        <v>3</v>
      </c>
      <c r="C35" s="26" t="s">
        <v>735</v>
      </c>
      <c r="D35" s="26" t="s">
        <v>736</v>
      </c>
      <c r="E35" s="26" t="s">
        <v>676</v>
      </c>
      <c r="F35" s="5"/>
    </row>
    <row r="36" customFormat="false" ht="15" hidden="false" customHeight="true" outlineLevel="0" collapsed="false">
      <c r="A36" s="26" t="n">
        <v>32</v>
      </c>
      <c r="B36" s="26" t="n">
        <v>3</v>
      </c>
      <c r="C36" s="26" t="s">
        <v>737</v>
      </c>
      <c r="D36" s="26" t="s">
        <v>738</v>
      </c>
      <c r="E36" s="26" t="s">
        <v>676</v>
      </c>
      <c r="F36" s="5"/>
    </row>
    <row r="37" customFormat="false" ht="15" hidden="false" customHeight="true" outlineLevel="0" collapsed="false">
      <c r="A37" s="26" t="n">
        <v>33</v>
      </c>
      <c r="B37" s="26" t="n">
        <v>3</v>
      </c>
      <c r="C37" s="26" t="s">
        <v>739</v>
      </c>
      <c r="D37" s="26" t="s">
        <v>740</v>
      </c>
      <c r="E37" s="26" t="s">
        <v>676</v>
      </c>
      <c r="F37" s="5"/>
    </row>
    <row r="38" customFormat="false" ht="15" hidden="false" customHeight="true" outlineLevel="0" collapsed="false">
      <c r="A38" s="26" t="n">
        <v>34</v>
      </c>
      <c r="B38" s="26" t="n">
        <v>3</v>
      </c>
      <c r="C38" s="26" t="s">
        <v>741</v>
      </c>
      <c r="D38" s="26" t="s">
        <v>742</v>
      </c>
      <c r="E38" s="26" t="s">
        <v>676</v>
      </c>
      <c r="F38" s="5"/>
    </row>
    <row r="39" customFormat="false" ht="15" hidden="false" customHeight="true" outlineLevel="0" collapsed="false">
      <c r="A39" s="26" t="n">
        <v>35</v>
      </c>
      <c r="B39" s="26" t="n">
        <v>3</v>
      </c>
      <c r="C39" s="26" t="s">
        <v>743</v>
      </c>
      <c r="D39" s="26" t="s">
        <v>744</v>
      </c>
      <c r="E39" s="26" t="s">
        <v>728</v>
      </c>
      <c r="F39" s="5"/>
    </row>
    <row r="40" customFormat="false" ht="15" hidden="false" customHeight="true" outlineLevel="0" collapsed="false">
      <c r="A40" s="26" t="n">
        <v>36</v>
      </c>
      <c r="B40" s="26" t="n">
        <v>2</v>
      </c>
      <c r="C40" s="16" t="s">
        <v>745</v>
      </c>
      <c r="D40" s="26" t="s">
        <v>746</v>
      </c>
      <c r="E40" s="26" t="s">
        <v>747</v>
      </c>
      <c r="F40" s="5"/>
    </row>
    <row r="41" customFormat="false" ht="15" hidden="false" customHeight="true" outlineLevel="0" collapsed="false">
      <c r="A41" s="26" t="n">
        <v>37</v>
      </c>
      <c r="B41" s="26" t="n">
        <v>3</v>
      </c>
      <c r="C41" s="26" t="s">
        <v>748</v>
      </c>
      <c r="D41" s="26" t="s">
        <v>749</v>
      </c>
      <c r="E41" s="26" t="s">
        <v>750</v>
      </c>
      <c r="F41" s="5"/>
    </row>
    <row r="42" customFormat="false" ht="15" hidden="false" customHeight="true" outlineLevel="0" collapsed="false">
      <c r="A42" s="26" t="n">
        <v>38</v>
      </c>
      <c r="B42" s="26" t="n">
        <v>4</v>
      </c>
      <c r="C42" s="26" t="s">
        <v>751</v>
      </c>
      <c r="D42" s="26" t="s">
        <v>752</v>
      </c>
      <c r="E42" s="26" t="s">
        <v>753</v>
      </c>
      <c r="F42" s="5"/>
    </row>
    <row r="43" customFormat="false" ht="15" hidden="false" customHeight="true" outlineLevel="0" collapsed="false">
      <c r="A43" s="26" t="n">
        <v>39</v>
      </c>
      <c r="B43" s="26" t="n">
        <v>4</v>
      </c>
      <c r="C43" s="26" t="s">
        <v>754</v>
      </c>
      <c r="D43" s="26" t="s">
        <v>755</v>
      </c>
      <c r="E43" s="26" t="s">
        <v>756</v>
      </c>
      <c r="F43" s="5"/>
    </row>
    <row r="44" customFormat="false" ht="15" hidden="false" customHeight="true" outlineLevel="0" collapsed="false">
      <c r="A44" s="26" t="n">
        <v>40</v>
      </c>
      <c r="B44" s="26" t="n">
        <v>4</v>
      </c>
      <c r="C44" s="26" t="s">
        <v>757</v>
      </c>
      <c r="D44" s="26" t="s">
        <v>758</v>
      </c>
      <c r="E44" s="26" t="s">
        <v>759</v>
      </c>
      <c r="F44" s="5"/>
    </row>
    <row r="45" customFormat="false" ht="15" hidden="false" customHeight="true" outlineLevel="0" collapsed="false">
      <c r="A45" s="26" t="n">
        <v>41</v>
      </c>
      <c r="B45" s="26" t="n">
        <v>4</v>
      </c>
      <c r="C45" s="26" t="s">
        <v>760</v>
      </c>
      <c r="D45" s="26" t="s">
        <v>761</v>
      </c>
      <c r="E45" s="26" t="s">
        <v>762</v>
      </c>
      <c r="F45" s="5"/>
    </row>
    <row r="46" customFormat="false" ht="15" hidden="false" customHeight="true" outlineLevel="0" collapsed="false">
      <c r="A46" s="26" t="n">
        <v>42</v>
      </c>
      <c r="B46" s="26" t="n">
        <v>3</v>
      </c>
      <c r="C46" s="26" t="s">
        <v>763</v>
      </c>
      <c r="D46" s="26" t="s">
        <v>764</v>
      </c>
      <c r="E46" s="26" t="s">
        <v>765</v>
      </c>
      <c r="F46" s="5"/>
    </row>
    <row r="47" customFormat="false" ht="15" hidden="false" customHeight="true" outlineLevel="0" collapsed="false">
      <c r="A47" s="26" t="n">
        <v>43</v>
      </c>
      <c r="B47" s="26" t="n">
        <v>4</v>
      </c>
      <c r="C47" s="26" t="s">
        <v>766</v>
      </c>
      <c r="D47" s="26" t="s">
        <v>767</v>
      </c>
      <c r="E47" s="26" t="s">
        <v>768</v>
      </c>
      <c r="F47" s="5"/>
    </row>
    <row r="48" customFormat="false" ht="15" hidden="false" customHeight="true" outlineLevel="0" collapsed="false">
      <c r="A48" s="26" t="n">
        <v>44</v>
      </c>
      <c r="B48" s="26" t="n">
        <v>4</v>
      </c>
      <c r="C48" s="26" t="s">
        <v>769</v>
      </c>
      <c r="D48" s="26" t="s">
        <v>770</v>
      </c>
      <c r="E48" s="26" t="s">
        <v>771</v>
      </c>
      <c r="F48" s="5"/>
    </row>
    <row r="49" customFormat="false" ht="15" hidden="false" customHeight="true" outlineLevel="0" collapsed="false">
      <c r="A49" s="26" t="n">
        <v>45</v>
      </c>
      <c r="B49" s="26" t="n">
        <v>4</v>
      </c>
      <c r="C49" s="26" t="s">
        <v>772</v>
      </c>
      <c r="D49" s="26" t="s">
        <v>773</v>
      </c>
      <c r="E49" s="26" t="s">
        <v>774</v>
      </c>
      <c r="F49" s="5"/>
    </row>
    <row r="50" customFormat="false" ht="15" hidden="false" customHeight="true" outlineLevel="0" collapsed="false">
      <c r="A50" s="26" t="n">
        <v>46</v>
      </c>
      <c r="B50" s="26" t="n">
        <v>4</v>
      </c>
      <c r="C50" s="26" t="s">
        <v>775</v>
      </c>
      <c r="D50" s="26" t="s">
        <v>776</v>
      </c>
      <c r="E50" s="26" t="s">
        <v>777</v>
      </c>
      <c r="F50" s="5"/>
    </row>
    <row r="51" customFormat="false" ht="15" hidden="false" customHeight="true" outlineLevel="0" collapsed="false">
      <c r="A51" s="26" t="n">
        <v>47</v>
      </c>
      <c r="B51" s="26" t="n">
        <v>4</v>
      </c>
      <c r="C51" s="26" t="s">
        <v>778</v>
      </c>
      <c r="D51" s="26" t="s">
        <v>779</v>
      </c>
      <c r="E51" s="26" t="s">
        <v>780</v>
      </c>
      <c r="F51" s="5"/>
    </row>
    <row r="52" customFormat="false" ht="15" hidden="false" customHeight="true" outlineLevel="0" collapsed="false">
      <c r="A52" s="26" t="n">
        <v>48</v>
      </c>
      <c r="B52" s="26" t="n">
        <v>4</v>
      </c>
      <c r="C52" s="26" t="s">
        <v>781</v>
      </c>
      <c r="D52" s="26" t="s">
        <v>782</v>
      </c>
      <c r="E52" s="26" t="s">
        <v>780</v>
      </c>
      <c r="F52" s="5"/>
    </row>
    <row r="53" customFormat="false" ht="15" hidden="false" customHeight="true" outlineLevel="0" collapsed="false">
      <c r="A53" s="26" t="n">
        <v>49</v>
      </c>
      <c r="B53" s="26" t="n">
        <v>4</v>
      </c>
      <c r="C53" s="26" t="s">
        <v>783</v>
      </c>
      <c r="D53" s="26" t="s">
        <v>784</v>
      </c>
      <c r="E53" s="26" t="s">
        <v>785</v>
      </c>
      <c r="F53" s="5"/>
    </row>
    <row r="54" customFormat="false" ht="15" hidden="false" customHeight="true" outlineLevel="0" collapsed="false">
      <c r="A54" s="26" t="n">
        <v>50</v>
      </c>
      <c r="B54" s="26" t="n">
        <v>4</v>
      </c>
      <c r="C54" s="26" t="s">
        <v>786</v>
      </c>
      <c r="D54" s="26" t="s">
        <v>787</v>
      </c>
      <c r="E54" s="26" t="s">
        <v>788</v>
      </c>
      <c r="F54" s="5"/>
    </row>
    <row r="55" customFormat="false" ht="15" hidden="false" customHeight="true" outlineLevel="0" collapsed="false">
      <c r="A55" s="26" t="n">
        <v>51</v>
      </c>
      <c r="B55" s="26" t="n">
        <v>3</v>
      </c>
      <c r="C55" s="26" t="s">
        <v>789</v>
      </c>
      <c r="D55" s="26" t="s">
        <v>790</v>
      </c>
      <c r="E55" s="26" t="s">
        <v>791</v>
      </c>
      <c r="F55" s="5"/>
    </row>
    <row r="56" customFormat="false" ht="15" hidden="false" customHeight="true" outlineLevel="0" collapsed="false">
      <c r="A56" s="26" t="n">
        <v>52</v>
      </c>
      <c r="B56" s="26" t="n">
        <v>4</v>
      </c>
      <c r="C56" s="26" t="s">
        <v>792</v>
      </c>
      <c r="D56" s="26" t="s">
        <v>793</v>
      </c>
      <c r="E56" s="26" t="s">
        <v>794</v>
      </c>
      <c r="F56" s="5"/>
    </row>
    <row r="57" customFormat="false" ht="15" hidden="false" customHeight="true" outlineLevel="0" collapsed="false">
      <c r="A57" s="26" t="n">
        <v>53</v>
      </c>
      <c r="B57" s="26" t="n">
        <v>4</v>
      </c>
      <c r="C57" s="26" t="s">
        <v>795</v>
      </c>
      <c r="D57" s="26" t="s">
        <v>796</v>
      </c>
      <c r="E57" s="26" t="s">
        <v>797</v>
      </c>
      <c r="F57" s="5"/>
    </row>
    <row r="58" customFormat="false" ht="15" hidden="false" customHeight="true" outlineLevel="0" collapsed="false">
      <c r="A58" s="26" t="n">
        <v>54</v>
      </c>
      <c r="B58" s="26" t="n">
        <v>4</v>
      </c>
      <c r="C58" s="26" t="s">
        <v>798</v>
      </c>
      <c r="D58" s="26" t="s">
        <v>799</v>
      </c>
      <c r="E58" s="26" t="s">
        <v>800</v>
      </c>
      <c r="F58" s="5"/>
    </row>
    <row r="59" customFormat="false" ht="15" hidden="false" customHeight="true" outlineLevel="0" collapsed="false">
      <c r="A59" s="26" t="n">
        <v>55</v>
      </c>
      <c r="B59" s="26" t="n">
        <v>4</v>
      </c>
      <c r="C59" s="26" t="s">
        <v>801</v>
      </c>
      <c r="D59" s="26" t="s">
        <v>802</v>
      </c>
      <c r="E59" s="26" t="s">
        <v>803</v>
      </c>
      <c r="F59" s="5"/>
    </row>
    <row r="60" customFormat="false" ht="15" hidden="false" customHeight="true" outlineLevel="0" collapsed="false">
      <c r="A60" s="26" t="n">
        <v>56</v>
      </c>
      <c r="B60" s="26" t="n">
        <v>4</v>
      </c>
      <c r="C60" s="26" t="s">
        <v>804</v>
      </c>
      <c r="D60" s="26" t="s">
        <v>805</v>
      </c>
      <c r="E60" s="26" t="s">
        <v>803</v>
      </c>
      <c r="F60" s="5"/>
    </row>
    <row r="61" customFormat="false" ht="15" hidden="false" customHeight="true" outlineLevel="0" collapsed="false">
      <c r="A61" s="26" t="n">
        <v>57</v>
      </c>
      <c r="B61" s="26" t="n">
        <v>4</v>
      </c>
      <c r="C61" s="26" t="s">
        <v>806</v>
      </c>
      <c r="D61" s="26" t="s">
        <v>807</v>
      </c>
      <c r="E61" s="26" t="s">
        <v>803</v>
      </c>
      <c r="F61" s="5"/>
    </row>
    <row r="62" customFormat="false" ht="15" hidden="false" customHeight="true" outlineLevel="0" collapsed="false">
      <c r="A62" s="26" t="n">
        <v>58</v>
      </c>
      <c r="B62" s="26" t="n">
        <v>4</v>
      </c>
      <c r="C62" s="26" t="s">
        <v>808</v>
      </c>
      <c r="D62" s="26" t="s">
        <v>809</v>
      </c>
      <c r="E62" s="26" t="s">
        <v>810</v>
      </c>
      <c r="F62" s="5"/>
    </row>
    <row r="63" customFormat="false" ht="15" hidden="false" customHeight="true" outlineLevel="0" collapsed="false">
      <c r="A63" s="26" t="n">
        <v>59</v>
      </c>
      <c r="B63" s="26" t="n">
        <v>3</v>
      </c>
      <c r="C63" s="26" t="s">
        <v>811</v>
      </c>
      <c r="D63" s="26" t="s">
        <v>812</v>
      </c>
      <c r="E63" s="26" t="s">
        <v>813</v>
      </c>
      <c r="F63" s="5"/>
    </row>
    <row r="64" customFormat="false" ht="15" hidden="false" customHeight="true" outlineLevel="0" collapsed="false">
      <c r="A64" s="26" t="n">
        <v>60</v>
      </c>
      <c r="B64" s="26" t="n">
        <v>4</v>
      </c>
      <c r="C64" s="26" t="s">
        <v>814</v>
      </c>
      <c r="D64" s="26" t="s">
        <v>815</v>
      </c>
      <c r="E64" s="26" t="s">
        <v>816</v>
      </c>
      <c r="F64" s="5"/>
    </row>
    <row r="65" customFormat="false" ht="15" hidden="false" customHeight="true" outlineLevel="0" collapsed="false">
      <c r="A65" s="26" t="n">
        <v>61</v>
      </c>
      <c r="B65" s="26" t="n">
        <v>4</v>
      </c>
      <c r="C65" s="26" t="s">
        <v>817</v>
      </c>
      <c r="D65" s="26" t="s">
        <v>818</v>
      </c>
      <c r="E65" s="26" t="s">
        <v>816</v>
      </c>
      <c r="F65" s="5"/>
    </row>
    <row r="66" customFormat="false" ht="15" hidden="false" customHeight="true" outlineLevel="0" collapsed="false">
      <c r="A66" s="26" t="n">
        <v>62</v>
      </c>
      <c r="B66" s="26" t="n">
        <v>4</v>
      </c>
      <c r="C66" s="26" t="s">
        <v>819</v>
      </c>
      <c r="D66" s="26" t="s">
        <v>820</v>
      </c>
      <c r="E66" s="26" t="s">
        <v>821</v>
      </c>
      <c r="F66" s="5"/>
    </row>
    <row r="67" customFormat="false" ht="15" hidden="false" customHeight="true" outlineLevel="0" collapsed="false">
      <c r="A67" s="26" t="n">
        <v>63</v>
      </c>
      <c r="B67" s="26" t="n">
        <v>4</v>
      </c>
      <c r="C67" s="26" t="s">
        <v>822</v>
      </c>
      <c r="D67" s="26" t="s">
        <v>823</v>
      </c>
      <c r="E67" s="26" t="s">
        <v>821</v>
      </c>
      <c r="F67" s="5"/>
    </row>
    <row r="68" customFormat="false" ht="15" hidden="false" customHeight="true" outlineLevel="0" collapsed="false">
      <c r="A68" s="26" t="n">
        <v>64</v>
      </c>
      <c r="B68" s="26" t="n">
        <v>4</v>
      </c>
      <c r="C68" s="26" t="s">
        <v>824</v>
      </c>
      <c r="D68" s="26" t="s">
        <v>825</v>
      </c>
      <c r="E68" s="26" t="s">
        <v>826</v>
      </c>
      <c r="F68" s="5"/>
    </row>
    <row r="69" customFormat="false" ht="15" hidden="false" customHeight="true" outlineLevel="0" collapsed="false">
      <c r="A69" s="26" t="n">
        <v>65</v>
      </c>
      <c r="B69" s="26" t="n">
        <v>4</v>
      </c>
      <c r="C69" s="26" t="s">
        <v>827</v>
      </c>
      <c r="D69" s="26" t="s">
        <v>828</v>
      </c>
      <c r="E69" s="26" t="s">
        <v>826</v>
      </c>
      <c r="F69" s="5"/>
    </row>
    <row r="70" customFormat="false" ht="15" hidden="false" customHeight="true" outlineLevel="0" collapsed="false">
      <c r="A70" s="26" t="n">
        <v>66</v>
      </c>
      <c r="B70" s="26" t="n">
        <v>4</v>
      </c>
      <c r="C70" s="26" t="s">
        <v>829</v>
      </c>
      <c r="D70" s="26" t="s">
        <v>830</v>
      </c>
      <c r="E70" s="26" t="s">
        <v>831</v>
      </c>
      <c r="F70" s="5"/>
    </row>
    <row r="71" customFormat="false" ht="15" hidden="false" customHeight="true" outlineLevel="0" collapsed="false">
      <c r="A71" s="26" t="n">
        <v>67</v>
      </c>
      <c r="B71" s="26" t="n">
        <v>4</v>
      </c>
      <c r="C71" s="26" t="s">
        <v>832</v>
      </c>
      <c r="D71" s="26" t="s">
        <v>833</v>
      </c>
      <c r="E71" s="26" t="s">
        <v>834</v>
      </c>
      <c r="F71" s="5"/>
    </row>
    <row r="72" customFormat="false" ht="15" hidden="false" customHeight="true" outlineLevel="0" collapsed="false">
      <c r="A72" s="26" t="n">
        <v>68</v>
      </c>
      <c r="B72" s="26" t="n">
        <v>4</v>
      </c>
      <c r="C72" s="26" t="s">
        <v>835</v>
      </c>
      <c r="D72" s="26" t="s">
        <v>836</v>
      </c>
      <c r="E72" s="26" t="s">
        <v>837</v>
      </c>
      <c r="F72" s="5"/>
    </row>
    <row r="73" customFormat="false" ht="15" hidden="false" customHeight="true" outlineLevel="0" collapsed="false">
      <c r="A73" s="26" t="n">
        <v>69</v>
      </c>
      <c r="B73" s="26" t="n">
        <v>4</v>
      </c>
      <c r="C73" s="26" t="s">
        <v>838</v>
      </c>
      <c r="D73" s="26" t="s">
        <v>839</v>
      </c>
      <c r="E73" s="26" t="s">
        <v>837</v>
      </c>
      <c r="F73" s="5"/>
    </row>
    <row r="74" customFormat="false" ht="15" hidden="false" customHeight="true" outlineLevel="0" collapsed="false">
      <c r="A74" s="26" t="n">
        <v>70</v>
      </c>
      <c r="B74" s="26" t="n">
        <v>4</v>
      </c>
      <c r="C74" s="26" t="s">
        <v>840</v>
      </c>
      <c r="D74" s="26" t="s">
        <v>841</v>
      </c>
      <c r="E74" s="26" t="s">
        <v>842</v>
      </c>
      <c r="F74" s="5"/>
    </row>
    <row r="75" customFormat="false" ht="15" hidden="false" customHeight="true" outlineLevel="0" collapsed="false">
      <c r="A75" s="26" t="n">
        <v>71</v>
      </c>
      <c r="B75" s="26" t="n">
        <v>3</v>
      </c>
      <c r="C75" s="26" t="s">
        <v>843</v>
      </c>
      <c r="D75" s="26" t="s">
        <v>844</v>
      </c>
      <c r="E75" s="26" t="s">
        <v>845</v>
      </c>
      <c r="F75" s="5"/>
    </row>
    <row r="76" customFormat="false" ht="15" hidden="false" customHeight="true" outlineLevel="0" collapsed="false">
      <c r="A76" s="26" t="n">
        <v>72</v>
      </c>
      <c r="B76" s="26" t="n">
        <v>4</v>
      </c>
      <c r="C76" s="26" t="s">
        <v>846</v>
      </c>
      <c r="D76" s="26" t="s">
        <v>847</v>
      </c>
      <c r="E76" s="26" t="s">
        <v>848</v>
      </c>
      <c r="F76" s="5"/>
    </row>
    <row r="77" customFormat="false" ht="15" hidden="false" customHeight="true" outlineLevel="0" collapsed="false">
      <c r="A77" s="26" t="n">
        <v>73</v>
      </c>
      <c r="B77" s="26" t="n">
        <v>4</v>
      </c>
      <c r="C77" s="26" t="s">
        <v>849</v>
      </c>
      <c r="D77" s="26" t="s">
        <v>850</v>
      </c>
      <c r="E77" s="26" t="s">
        <v>851</v>
      </c>
      <c r="F77" s="5"/>
    </row>
    <row r="78" customFormat="false" ht="15" hidden="false" customHeight="true" outlineLevel="0" collapsed="false">
      <c r="A78" s="26" t="n">
        <v>74</v>
      </c>
      <c r="B78" s="26" t="n">
        <v>4</v>
      </c>
      <c r="C78" s="26" t="s">
        <v>852</v>
      </c>
      <c r="D78" s="26" t="s">
        <v>853</v>
      </c>
      <c r="E78" s="26" t="s">
        <v>854</v>
      </c>
      <c r="F78" s="5"/>
    </row>
    <row r="79" customFormat="false" ht="15" hidden="false" customHeight="true" outlineLevel="0" collapsed="false">
      <c r="A79" s="26" t="n">
        <v>75</v>
      </c>
      <c r="B79" s="26" t="n">
        <v>4</v>
      </c>
      <c r="C79" s="26" t="s">
        <v>855</v>
      </c>
      <c r="D79" s="26" t="s">
        <v>856</v>
      </c>
      <c r="E79" s="26" t="s">
        <v>857</v>
      </c>
      <c r="F79" s="5"/>
    </row>
    <row r="80" customFormat="false" ht="15" hidden="false" customHeight="true" outlineLevel="0" collapsed="false">
      <c r="A80" s="26" t="n">
        <v>76</v>
      </c>
      <c r="B80" s="26" t="n">
        <v>4</v>
      </c>
      <c r="C80" s="26" t="s">
        <v>858</v>
      </c>
      <c r="D80" s="26" t="s">
        <v>859</v>
      </c>
      <c r="E80" s="26" t="s">
        <v>857</v>
      </c>
      <c r="F80" s="5"/>
    </row>
    <row r="81" customFormat="false" ht="15" hidden="false" customHeight="true" outlineLevel="0" collapsed="false">
      <c r="A81" s="26" t="n">
        <v>77</v>
      </c>
      <c r="B81" s="26" t="n">
        <v>3</v>
      </c>
      <c r="C81" s="26" t="s">
        <v>860</v>
      </c>
      <c r="D81" s="26" t="s">
        <v>861</v>
      </c>
      <c r="E81" s="26" t="s">
        <v>862</v>
      </c>
      <c r="F81" s="5"/>
    </row>
    <row r="82" customFormat="false" ht="15" hidden="false" customHeight="true" outlineLevel="0" collapsed="false">
      <c r="A82" s="26" t="n">
        <v>78</v>
      </c>
      <c r="B82" s="26" t="n">
        <v>4</v>
      </c>
      <c r="C82" s="26" t="s">
        <v>863</v>
      </c>
      <c r="D82" s="26" t="s">
        <v>864</v>
      </c>
      <c r="E82" s="26" t="s">
        <v>865</v>
      </c>
      <c r="F82" s="5"/>
    </row>
    <row r="83" customFormat="false" ht="15" hidden="false" customHeight="true" outlineLevel="0" collapsed="false">
      <c r="A83" s="26" t="n">
        <v>79</v>
      </c>
      <c r="B83" s="26" t="n">
        <v>4</v>
      </c>
      <c r="C83" s="26" t="s">
        <v>866</v>
      </c>
      <c r="D83" s="26" t="s">
        <v>867</v>
      </c>
      <c r="E83" s="26" t="s">
        <v>868</v>
      </c>
      <c r="F83" s="5"/>
    </row>
    <row r="84" customFormat="false" ht="15" hidden="false" customHeight="true" outlineLevel="0" collapsed="false">
      <c r="A84" s="26" t="n">
        <v>80</v>
      </c>
      <c r="B84" s="26" t="n">
        <v>4</v>
      </c>
      <c r="C84" s="26" t="s">
        <v>869</v>
      </c>
      <c r="D84" s="26" t="s">
        <v>870</v>
      </c>
      <c r="E84" s="26" t="s">
        <v>871</v>
      </c>
      <c r="F84" s="5"/>
    </row>
    <row r="85" customFormat="false" ht="15" hidden="false" customHeight="true" outlineLevel="0" collapsed="false">
      <c r="A85" s="26" t="n">
        <v>81</v>
      </c>
      <c r="B85" s="26" t="n">
        <v>4</v>
      </c>
      <c r="C85" s="26" t="s">
        <v>872</v>
      </c>
      <c r="D85" s="26" t="s">
        <v>873</v>
      </c>
      <c r="E85" s="26" t="s">
        <v>874</v>
      </c>
      <c r="F85" s="5"/>
    </row>
    <row r="86" customFormat="false" ht="15" hidden="false" customHeight="true" outlineLevel="0" collapsed="false">
      <c r="A86" s="26" t="n">
        <v>82</v>
      </c>
      <c r="B86" s="26" t="n">
        <v>4</v>
      </c>
      <c r="C86" s="26" t="s">
        <v>875</v>
      </c>
      <c r="D86" s="26" t="s">
        <v>876</v>
      </c>
      <c r="E86" s="26" t="s">
        <v>877</v>
      </c>
      <c r="F86" s="5"/>
    </row>
    <row r="87" customFormat="false" ht="15" hidden="false" customHeight="true" outlineLevel="0" collapsed="false">
      <c r="A87" s="26" t="n">
        <v>83</v>
      </c>
      <c r="B87" s="26" t="n">
        <v>4</v>
      </c>
      <c r="C87" s="26" t="s">
        <v>878</v>
      </c>
      <c r="D87" s="26" t="s">
        <v>879</v>
      </c>
      <c r="E87" s="26" t="s">
        <v>880</v>
      </c>
      <c r="F87" s="5"/>
    </row>
    <row r="88" customFormat="false" ht="15" hidden="false" customHeight="true" outlineLevel="0" collapsed="false">
      <c r="A88" s="26" t="n">
        <v>84</v>
      </c>
      <c r="B88" s="26" t="n">
        <v>4</v>
      </c>
      <c r="C88" s="26" t="s">
        <v>881</v>
      </c>
      <c r="D88" s="26" t="s">
        <v>882</v>
      </c>
      <c r="E88" s="26" t="s">
        <v>877</v>
      </c>
      <c r="F88" s="5"/>
    </row>
    <row r="89" customFormat="false" ht="15" hidden="false" customHeight="true" outlineLevel="0" collapsed="false">
      <c r="A89" s="26" t="n">
        <v>85</v>
      </c>
      <c r="B89" s="26" t="n">
        <v>4</v>
      </c>
      <c r="C89" s="26" t="s">
        <v>883</v>
      </c>
      <c r="D89" s="26" t="s">
        <v>884</v>
      </c>
      <c r="E89" s="26" t="s">
        <v>885</v>
      </c>
      <c r="F89" s="5"/>
    </row>
    <row r="90" customFormat="false" ht="15" hidden="false" customHeight="true" outlineLevel="0" collapsed="false">
      <c r="A90" s="26" t="n">
        <v>86</v>
      </c>
      <c r="B90" s="26" t="n">
        <v>4</v>
      </c>
      <c r="C90" s="26" t="s">
        <v>886</v>
      </c>
      <c r="D90" s="26" t="s">
        <v>887</v>
      </c>
      <c r="E90" s="26" t="s">
        <v>888</v>
      </c>
      <c r="F90" s="5"/>
    </row>
    <row r="91" customFormat="false" ht="15" hidden="false" customHeight="true" outlineLevel="0" collapsed="false">
      <c r="A91" s="26" t="n">
        <v>87</v>
      </c>
      <c r="B91" s="26" t="n">
        <v>4</v>
      </c>
      <c r="C91" s="26" t="s">
        <v>889</v>
      </c>
      <c r="D91" s="26" t="s">
        <v>890</v>
      </c>
      <c r="E91" s="26" t="s">
        <v>891</v>
      </c>
      <c r="F91" s="5"/>
    </row>
    <row r="92" customFormat="false" ht="15" hidden="false" customHeight="true" outlineLevel="0" collapsed="false">
      <c r="A92" s="26" t="n">
        <v>88</v>
      </c>
      <c r="B92" s="26" t="n">
        <v>4</v>
      </c>
      <c r="C92" s="26" t="s">
        <v>892</v>
      </c>
      <c r="D92" s="26" t="s">
        <v>893</v>
      </c>
      <c r="E92" s="26" t="s">
        <v>894</v>
      </c>
      <c r="F92" s="5"/>
    </row>
    <row r="93" customFormat="false" ht="15" hidden="false" customHeight="true" outlineLevel="0" collapsed="false">
      <c r="A93" s="26" t="n">
        <v>89</v>
      </c>
      <c r="B93" s="26" t="n">
        <v>4</v>
      </c>
      <c r="C93" s="26" t="s">
        <v>895</v>
      </c>
      <c r="D93" s="26" t="s">
        <v>896</v>
      </c>
      <c r="E93" s="26" t="s">
        <v>897</v>
      </c>
      <c r="F93" s="5"/>
    </row>
    <row r="94" customFormat="false" ht="15" hidden="false" customHeight="true" outlineLevel="0" collapsed="false">
      <c r="A94" s="26" t="n">
        <v>90</v>
      </c>
      <c r="B94" s="26" t="n">
        <v>4</v>
      </c>
      <c r="C94" s="26" t="s">
        <v>898</v>
      </c>
      <c r="D94" s="26" t="s">
        <v>899</v>
      </c>
      <c r="E94" s="26" t="s">
        <v>900</v>
      </c>
      <c r="F94" s="5"/>
    </row>
    <row r="95" customFormat="false" ht="15" hidden="false" customHeight="true" outlineLevel="0" collapsed="false">
      <c r="A95" s="26" t="n">
        <v>91</v>
      </c>
      <c r="B95" s="26" t="n">
        <v>4</v>
      </c>
      <c r="C95" s="26" t="s">
        <v>901</v>
      </c>
      <c r="D95" s="26" t="s">
        <v>902</v>
      </c>
      <c r="E95" s="26" t="s">
        <v>903</v>
      </c>
      <c r="F95" s="5"/>
    </row>
    <row r="96" customFormat="false" ht="15" hidden="false" customHeight="true" outlineLevel="0" collapsed="false">
      <c r="A96" s="26" t="n">
        <v>92</v>
      </c>
      <c r="B96" s="26" t="n">
        <v>3</v>
      </c>
      <c r="C96" s="26" t="s">
        <v>904</v>
      </c>
      <c r="D96" s="26" t="s">
        <v>905</v>
      </c>
      <c r="E96" s="26" t="s">
        <v>906</v>
      </c>
      <c r="F96" s="5"/>
    </row>
    <row r="97" customFormat="false" ht="15" hidden="false" customHeight="true" outlineLevel="0" collapsed="false">
      <c r="A97" s="26" t="n">
        <v>93</v>
      </c>
      <c r="B97" s="26" t="n">
        <v>4</v>
      </c>
      <c r="C97" s="26" t="s">
        <v>907</v>
      </c>
      <c r="D97" s="26" t="s">
        <v>908</v>
      </c>
      <c r="E97" s="26" t="s">
        <v>909</v>
      </c>
      <c r="F97" s="5"/>
    </row>
    <row r="98" customFormat="false" ht="15" hidden="false" customHeight="true" outlineLevel="0" collapsed="false">
      <c r="A98" s="26" t="n">
        <v>94</v>
      </c>
      <c r="B98" s="26" t="n">
        <v>4</v>
      </c>
      <c r="C98" s="26" t="s">
        <v>910</v>
      </c>
      <c r="D98" s="26" t="s">
        <v>911</v>
      </c>
      <c r="E98" s="26" t="s">
        <v>912</v>
      </c>
      <c r="F98" s="5"/>
    </row>
    <row r="99" customFormat="false" ht="15" hidden="false" customHeight="true" outlineLevel="0" collapsed="false">
      <c r="A99" s="26" t="n">
        <v>95</v>
      </c>
      <c r="B99" s="26" t="n">
        <v>4</v>
      </c>
      <c r="C99" s="26" t="s">
        <v>913</v>
      </c>
      <c r="D99" s="26" t="s">
        <v>914</v>
      </c>
      <c r="E99" s="26" t="s">
        <v>915</v>
      </c>
      <c r="F99" s="5"/>
    </row>
    <row r="100" customFormat="false" ht="15" hidden="false" customHeight="true" outlineLevel="0" collapsed="false">
      <c r="A100" s="26" t="n">
        <v>96</v>
      </c>
      <c r="B100" s="26" t="n">
        <v>4</v>
      </c>
      <c r="C100" s="26" t="s">
        <v>916</v>
      </c>
      <c r="D100" s="26" t="s">
        <v>917</v>
      </c>
      <c r="E100" s="26" t="s">
        <v>918</v>
      </c>
      <c r="F100" s="5"/>
    </row>
    <row r="101" customFormat="false" ht="15" hidden="false" customHeight="true" outlineLevel="0" collapsed="false">
      <c r="A101" s="26" t="n">
        <v>97</v>
      </c>
      <c r="B101" s="26" t="n">
        <v>4</v>
      </c>
      <c r="C101" s="26" t="s">
        <v>919</v>
      </c>
      <c r="D101" s="26" t="s">
        <v>920</v>
      </c>
      <c r="E101" s="26" t="s">
        <v>921</v>
      </c>
      <c r="F10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26"/>
    <col collapsed="false" customWidth="true" hidden="false" outlineLevel="0" max="4" min="4" style="1" width="15"/>
    <col collapsed="false" customWidth="true" hidden="false" outlineLevel="0" max="5" min="5" style="1" width="72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49" t="s">
        <v>922</v>
      </c>
    </row>
    <row r="2" customFormat="false" ht="15" hidden="false" customHeight="true" outlineLevel="0" collapsed="false">
      <c r="A2" s="13" t="s">
        <v>923</v>
      </c>
    </row>
    <row r="4" customFormat="false" ht="15" hidden="false" customHeight="true" outlineLevel="0" collapsed="false">
      <c r="A4" s="35" t="s">
        <v>212</v>
      </c>
      <c r="B4" s="35" t="s">
        <v>924</v>
      </c>
      <c r="C4" s="35" t="s">
        <v>925</v>
      </c>
      <c r="D4" s="35" t="s">
        <v>926</v>
      </c>
      <c r="E4" s="35" t="s">
        <v>927</v>
      </c>
      <c r="F4" s="35" t="s">
        <v>928</v>
      </c>
    </row>
    <row r="5" customFormat="false" ht="15" hidden="false" customHeight="true" outlineLevel="0" collapsed="false">
      <c r="A5" s="26" t="n">
        <v>1</v>
      </c>
      <c r="B5" s="7" t="s">
        <v>929</v>
      </c>
      <c r="C5" s="26" t="s">
        <v>930</v>
      </c>
      <c r="D5" s="47" t="n">
        <v>45986</v>
      </c>
      <c r="E5" s="26" t="s">
        <v>931</v>
      </c>
      <c r="F5" s="5"/>
    </row>
    <row r="6" customFormat="false" ht="15" hidden="false" customHeight="true" outlineLevel="0" collapsed="false">
      <c r="A6" s="26" t="n">
        <v>2</v>
      </c>
      <c r="B6" s="7" t="s">
        <v>929</v>
      </c>
      <c r="C6" s="26" t="s">
        <v>932</v>
      </c>
      <c r="D6" s="47" t="n">
        <v>45986</v>
      </c>
      <c r="E6" s="26" t="s">
        <v>931</v>
      </c>
      <c r="F6" s="5"/>
    </row>
    <row r="7" customFormat="false" ht="15" hidden="false" customHeight="true" outlineLevel="0" collapsed="false">
      <c r="A7" s="26" t="n">
        <v>3</v>
      </c>
      <c r="B7" s="7" t="s">
        <v>929</v>
      </c>
      <c r="C7" s="26" t="s">
        <v>933</v>
      </c>
      <c r="D7" s="47" t="n">
        <v>45986</v>
      </c>
      <c r="E7" s="26" t="s">
        <v>931</v>
      </c>
      <c r="F7" s="5"/>
    </row>
    <row r="8" customFormat="false" ht="15" hidden="false" customHeight="true" outlineLevel="0" collapsed="false">
      <c r="A8" s="26" t="n">
        <v>4</v>
      </c>
      <c r="B8" s="7" t="s">
        <v>929</v>
      </c>
      <c r="C8" s="26" t="s">
        <v>934</v>
      </c>
      <c r="D8" s="47" t="n">
        <v>45992</v>
      </c>
      <c r="E8" s="26" t="s">
        <v>931</v>
      </c>
      <c r="F8" s="5"/>
    </row>
    <row r="9" customFormat="false" ht="15" hidden="false" customHeight="true" outlineLevel="0" collapsed="false">
      <c r="A9" s="26" t="n">
        <v>5</v>
      </c>
      <c r="B9" s="7" t="s">
        <v>929</v>
      </c>
      <c r="C9" s="26" t="s">
        <v>935</v>
      </c>
      <c r="D9" s="47" t="n">
        <v>45992</v>
      </c>
      <c r="E9" s="26" t="s">
        <v>931</v>
      </c>
      <c r="F9" s="5"/>
    </row>
    <row r="10" customFormat="false" ht="15" hidden="false" customHeight="true" outlineLevel="0" collapsed="false">
      <c r="A10" s="26" t="n">
        <v>6</v>
      </c>
      <c r="B10" s="7" t="s">
        <v>936</v>
      </c>
      <c r="C10" s="26" t="s">
        <v>937</v>
      </c>
      <c r="D10" s="47" t="n">
        <v>45973</v>
      </c>
      <c r="E10" s="26" t="s">
        <v>938</v>
      </c>
      <c r="F10" s="5"/>
    </row>
    <row r="11" customFormat="false" ht="15" hidden="false" customHeight="true" outlineLevel="0" collapsed="false">
      <c r="A11" s="26" t="n">
        <v>7</v>
      </c>
      <c r="B11" s="7" t="s">
        <v>936</v>
      </c>
      <c r="C11" s="26" t="s">
        <v>937</v>
      </c>
      <c r="D11" s="47" t="n">
        <v>46019</v>
      </c>
      <c r="E11" s="26" t="s">
        <v>939</v>
      </c>
      <c r="F11" s="5"/>
    </row>
    <row r="12" customFormat="false" ht="15" hidden="false" customHeight="true" outlineLevel="0" collapsed="false">
      <c r="A12" s="26" t="n">
        <v>8</v>
      </c>
      <c r="B12" s="7" t="s">
        <v>936</v>
      </c>
      <c r="C12" s="26" t="s">
        <v>937</v>
      </c>
      <c r="D12" s="47" t="n">
        <v>46019</v>
      </c>
      <c r="E12" s="26" t="s">
        <v>940</v>
      </c>
      <c r="F12" s="5"/>
    </row>
    <row r="13" customFormat="false" ht="15" hidden="false" customHeight="true" outlineLevel="0" collapsed="false">
      <c r="A13" s="26" t="n">
        <v>9</v>
      </c>
      <c r="B13" s="7" t="s">
        <v>936</v>
      </c>
      <c r="C13" s="26" t="s">
        <v>937</v>
      </c>
      <c r="D13" s="47" t="n">
        <v>46019</v>
      </c>
      <c r="E13" s="26" t="s">
        <v>941</v>
      </c>
      <c r="F13" s="5"/>
    </row>
    <row r="14" customFormat="false" ht="15" hidden="false" customHeight="true" outlineLevel="0" collapsed="false">
      <c r="A14" s="26" t="n">
        <v>10</v>
      </c>
      <c r="B14" s="7" t="s">
        <v>936</v>
      </c>
      <c r="C14" s="26" t="s">
        <v>937</v>
      </c>
      <c r="D14" s="47" t="n">
        <v>46020</v>
      </c>
      <c r="E14" s="26" t="s">
        <v>942</v>
      </c>
      <c r="F14" s="5"/>
    </row>
    <row r="15" customFormat="false" ht="15" hidden="false" customHeight="true" outlineLevel="0" collapsed="false">
      <c r="A15" s="26" t="n">
        <v>11</v>
      </c>
      <c r="B15" s="7" t="s">
        <v>943</v>
      </c>
      <c r="C15" s="26" t="s">
        <v>250</v>
      </c>
      <c r="D15" s="26"/>
      <c r="E15" s="26" t="s">
        <v>944</v>
      </c>
      <c r="F15" s="5"/>
    </row>
    <row r="16" customFormat="false" ht="15" hidden="false" customHeight="true" outlineLevel="0" collapsed="false">
      <c r="A16" s="26" t="n">
        <v>12</v>
      </c>
      <c r="B16" s="7" t="s">
        <v>943</v>
      </c>
      <c r="C16" s="26" t="s">
        <v>254</v>
      </c>
      <c r="D16" s="26"/>
      <c r="E16" s="26" t="s">
        <v>944</v>
      </c>
      <c r="F16" s="5"/>
    </row>
    <row r="17" customFormat="false" ht="15" hidden="false" customHeight="true" outlineLevel="0" collapsed="false">
      <c r="A17" s="26" t="n">
        <v>13</v>
      </c>
      <c r="B17" s="7" t="s">
        <v>943</v>
      </c>
      <c r="C17" s="26" t="s">
        <v>945</v>
      </c>
      <c r="D17" s="26"/>
      <c r="E17" s="26" t="s">
        <v>944</v>
      </c>
      <c r="F17" s="5"/>
    </row>
    <row r="18" customFormat="false" ht="15" hidden="false" customHeight="true" outlineLevel="0" collapsed="false">
      <c r="A18" s="26" t="n">
        <v>14</v>
      </c>
      <c r="B18" s="7" t="s">
        <v>943</v>
      </c>
      <c r="C18" s="26" t="s">
        <v>946</v>
      </c>
      <c r="D18" s="26"/>
      <c r="E18" s="26" t="s">
        <v>944</v>
      </c>
      <c r="F18" s="5"/>
    </row>
    <row r="19" customFormat="false" ht="15" hidden="false" customHeight="true" outlineLevel="0" collapsed="false">
      <c r="A19" s="26" t="n">
        <v>15</v>
      </c>
      <c r="B19" s="7" t="s">
        <v>943</v>
      </c>
      <c r="C19" s="26" t="s">
        <v>947</v>
      </c>
      <c r="D19" s="26"/>
      <c r="E19" s="26" t="s">
        <v>944</v>
      </c>
      <c r="F19" s="5"/>
    </row>
    <row r="20" customFormat="false" ht="15" hidden="false" customHeight="true" outlineLevel="0" collapsed="false">
      <c r="A20" s="26" t="n">
        <v>16</v>
      </c>
      <c r="B20" s="7" t="s">
        <v>943</v>
      </c>
      <c r="C20" s="26" t="s">
        <v>948</v>
      </c>
      <c r="D20" s="26"/>
      <c r="E20" s="26" t="s">
        <v>949</v>
      </c>
      <c r="F20" s="5"/>
    </row>
    <row r="21" customFormat="false" ht="15" hidden="false" customHeight="true" outlineLevel="0" collapsed="false">
      <c r="A21" s="26" t="n">
        <v>17</v>
      </c>
      <c r="B21" s="7" t="s">
        <v>943</v>
      </c>
      <c r="C21" s="26" t="s">
        <v>950</v>
      </c>
      <c r="D21" s="26"/>
      <c r="E21" s="26" t="s">
        <v>951</v>
      </c>
      <c r="F21" s="5"/>
    </row>
    <row r="22" customFormat="false" ht="15" hidden="false" customHeight="true" outlineLevel="0" collapsed="false">
      <c r="A22" s="26" t="n">
        <v>18</v>
      </c>
      <c r="B22" s="7" t="s">
        <v>943</v>
      </c>
      <c r="C22" s="26" t="s">
        <v>952</v>
      </c>
      <c r="D22" s="26"/>
      <c r="E22" s="26" t="s">
        <v>949</v>
      </c>
      <c r="F22" s="5"/>
    </row>
    <row r="23" customFormat="false" ht="15" hidden="false" customHeight="true" outlineLevel="0" collapsed="false">
      <c r="A23" s="26" t="n">
        <v>19</v>
      </c>
      <c r="B23" s="7" t="s">
        <v>943</v>
      </c>
      <c r="C23" s="26" t="s">
        <v>953</v>
      </c>
      <c r="D23" s="26"/>
      <c r="E23" s="26" t="s">
        <v>949</v>
      </c>
      <c r="F23" s="5"/>
    </row>
    <row r="24" customFormat="false" ht="15" hidden="false" customHeight="true" outlineLevel="0" collapsed="false">
      <c r="A24" s="26" t="n">
        <v>20</v>
      </c>
      <c r="B24" s="7" t="s">
        <v>943</v>
      </c>
      <c r="C24" s="26" t="s">
        <v>954</v>
      </c>
      <c r="D24" s="26"/>
      <c r="E24" s="26" t="s">
        <v>949</v>
      </c>
      <c r="F24" s="5"/>
    </row>
    <row r="25" customFormat="false" ht="15" hidden="false" customHeight="true" outlineLevel="0" collapsed="false">
      <c r="A25" s="26" t="n">
        <v>21</v>
      </c>
      <c r="B25" s="7" t="s">
        <v>943</v>
      </c>
      <c r="C25" s="26" t="s">
        <v>955</v>
      </c>
      <c r="D25" s="26"/>
      <c r="E25" s="26" t="s">
        <v>949</v>
      </c>
      <c r="F25" s="5"/>
    </row>
    <row r="26" customFormat="false" ht="15" hidden="false" customHeight="true" outlineLevel="0" collapsed="false">
      <c r="A26" s="26" t="n">
        <v>22</v>
      </c>
      <c r="B26" s="7" t="s">
        <v>943</v>
      </c>
      <c r="C26" s="26" t="s">
        <v>956</v>
      </c>
      <c r="D26" s="26"/>
      <c r="E26" s="26" t="s">
        <v>949</v>
      </c>
      <c r="F26" s="5"/>
    </row>
    <row r="27" customFormat="false" ht="15" hidden="false" customHeight="true" outlineLevel="0" collapsed="false">
      <c r="A27" s="26" t="n">
        <v>23</v>
      </c>
      <c r="B27" s="7" t="s">
        <v>943</v>
      </c>
      <c r="C27" s="26" t="s">
        <v>957</v>
      </c>
      <c r="D27" s="26"/>
      <c r="E27" s="26" t="s">
        <v>958</v>
      </c>
      <c r="F27" s="5"/>
    </row>
    <row r="28" customFormat="false" ht="15" hidden="false" customHeight="true" outlineLevel="0" collapsed="false">
      <c r="A28" s="26" t="n">
        <v>24</v>
      </c>
      <c r="B28" s="7" t="s">
        <v>943</v>
      </c>
      <c r="C28" s="26" t="s">
        <v>959</v>
      </c>
      <c r="D28" s="26"/>
      <c r="E28" s="26" t="s">
        <v>949</v>
      </c>
      <c r="F28" s="5"/>
    </row>
    <row r="29" customFormat="false" ht="15" hidden="false" customHeight="true" outlineLevel="0" collapsed="false">
      <c r="A29" s="26" t="n">
        <v>25</v>
      </c>
      <c r="B29" s="7" t="s">
        <v>943</v>
      </c>
      <c r="C29" s="26" t="s">
        <v>960</v>
      </c>
      <c r="D29" s="26"/>
      <c r="E29" s="26" t="s">
        <v>949</v>
      </c>
      <c r="F29" s="5"/>
    </row>
    <row r="30" customFormat="false" ht="15" hidden="false" customHeight="true" outlineLevel="0" collapsed="false">
      <c r="A30" s="26" t="n">
        <v>26</v>
      </c>
      <c r="B30" s="7" t="s">
        <v>943</v>
      </c>
      <c r="C30" s="26" t="s">
        <v>961</v>
      </c>
      <c r="D30" s="26"/>
      <c r="E30" s="26" t="s">
        <v>949</v>
      </c>
      <c r="F30" s="5"/>
    </row>
    <row r="31" customFormat="false" ht="15" hidden="false" customHeight="true" outlineLevel="0" collapsed="false">
      <c r="A31" s="26" t="n">
        <v>27</v>
      </c>
      <c r="B31" s="7" t="s">
        <v>943</v>
      </c>
      <c r="C31" s="26" t="s">
        <v>962</v>
      </c>
      <c r="D31" s="26"/>
      <c r="E31" s="26" t="s">
        <v>949</v>
      </c>
      <c r="F31" s="5"/>
    </row>
    <row r="32" customFormat="false" ht="15" hidden="false" customHeight="true" outlineLevel="0" collapsed="false">
      <c r="A32" s="26" t="n">
        <v>28</v>
      </c>
      <c r="B32" s="7" t="s">
        <v>943</v>
      </c>
      <c r="C32" s="26" t="s">
        <v>963</v>
      </c>
      <c r="D32" s="26"/>
      <c r="E32" s="26" t="s">
        <v>949</v>
      </c>
      <c r="F32" s="5"/>
    </row>
    <row r="33" customFormat="false" ht="15" hidden="false" customHeight="true" outlineLevel="0" collapsed="false">
      <c r="A33" s="26" t="n">
        <v>29</v>
      </c>
      <c r="B33" s="7" t="s">
        <v>943</v>
      </c>
      <c r="C33" s="26" t="s">
        <v>964</v>
      </c>
      <c r="D33" s="26"/>
      <c r="E33" s="26" t="s">
        <v>949</v>
      </c>
      <c r="F33" s="5"/>
    </row>
    <row r="34" customFormat="false" ht="15" hidden="false" customHeight="true" outlineLevel="0" collapsed="false">
      <c r="A34" s="26" t="n">
        <v>30</v>
      </c>
      <c r="B34" s="7" t="s">
        <v>943</v>
      </c>
      <c r="C34" s="26" t="s">
        <v>965</v>
      </c>
      <c r="D34" s="26"/>
      <c r="E34" s="26" t="s">
        <v>958</v>
      </c>
      <c r="F34" s="5"/>
    </row>
    <row r="35" customFormat="false" ht="15" hidden="false" customHeight="true" outlineLevel="0" collapsed="false">
      <c r="A35" s="26" t="n">
        <v>31</v>
      </c>
      <c r="B35" s="7" t="s">
        <v>943</v>
      </c>
      <c r="C35" s="26" t="s">
        <v>966</v>
      </c>
      <c r="D35" s="26"/>
      <c r="E35" s="26" t="s">
        <v>958</v>
      </c>
      <c r="F35" s="5"/>
    </row>
    <row r="36" customFormat="false" ht="15" hidden="false" customHeight="true" outlineLevel="0" collapsed="false">
      <c r="A36" s="26" t="n">
        <v>32</v>
      </c>
      <c r="B36" s="7" t="s">
        <v>943</v>
      </c>
      <c r="C36" s="26" t="s">
        <v>967</v>
      </c>
      <c r="D36" s="26"/>
      <c r="E36" s="26" t="s">
        <v>949</v>
      </c>
      <c r="F36" s="5"/>
    </row>
    <row r="37" customFormat="false" ht="15" hidden="false" customHeight="true" outlineLevel="0" collapsed="false">
      <c r="A37" s="26" t="n">
        <v>33</v>
      </c>
      <c r="B37" s="7" t="s">
        <v>943</v>
      </c>
      <c r="C37" s="26" t="s">
        <v>968</v>
      </c>
      <c r="D37" s="26"/>
      <c r="E37" s="26" t="s">
        <v>949</v>
      </c>
      <c r="F37" s="5"/>
    </row>
    <row r="38" customFormat="false" ht="15" hidden="false" customHeight="true" outlineLevel="0" collapsed="false">
      <c r="A38" s="26" t="n">
        <v>34</v>
      </c>
      <c r="B38" s="7" t="s">
        <v>943</v>
      </c>
      <c r="C38" s="26" t="s">
        <v>969</v>
      </c>
      <c r="D38" s="26"/>
      <c r="E38" s="26" t="s">
        <v>949</v>
      </c>
      <c r="F38" s="5"/>
    </row>
    <row r="39" customFormat="false" ht="15" hidden="false" customHeight="true" outlineLevel="0" collapsed="false">
      <c r="A39" s="26" t="n">
        <v>35</v>
      </c>
      <c r="B39" s="7" t="s">
        <v>943</v>
      </c>
      <c r="C39" s="26" t="s">
        <v>322</v>
      </c>
      <c r="D39" s="26"/>
      <c r="E39" s="26" t="s">
        <v>949</v>
      </c>
      <c r="F39" s="5"/>
    </row>
    <row r="40" customFormat="false" ht="15" hidden="false" customHeight="true" outlineLevel="0" collapsed="false">
      <c r="A40" s="26" t="n">
        <v>36</v>
      </c>
      <c r="B40" s="7" t="s">
        <v>943</v>
      </c>
      <c r="C40" s="26" t="s">
        <v>970</v>
      </c>
      <c r="D40" s="26"/>
      <c r="E40" s="26" t="s">
        <v>958</v>
      </c>
      <c r="F40" s="5"/>
    </row>
    <row r="41" customFormat="false" ht="15" hidden="false" customHeight="true" outlineLevel="0" collapsed="false">
      <c r="A41" s="26" t="n">
        <v>37</v>
      </c>
      <c r="B41" s="7" t="s">
        <v>943</v>
      </c>
      <c r="C41" s="26" t="s">
        <v>971</v>
      </c>
      <c r="D41" s="26"/>
      <c r="E41" s="26" t="s">
        <v>958</v>
      </c>
      <c r="F41" s="5"/>
    </row>
    <row r="42" customFormat="false" ht="15" hidden="false" customHeight="true" outlineLevel="0" collapsed="false">
      <c r="A42" s="26" t="n">
        <v>38</v>
      </c>
      <c r="B42" s="7" t="s">
        <v>943</v>
      </c>
      <c r="C42" s="26" t="s">
        <v>972</v>
      </c>
      <c r="D42" s="26"/>
      <c r="E42" s="26" t="s">
        <v>958</v>
      </c>
      <c r="F42" s="5"/>
    </row>
    <row r="43" customFormat="false" ht="15" hidden="false" customHeight="true" outlineLevel="0" collapsed="false">
      <c r="A43" s="26" t="n">
        <v>39</v>
      </c>
      <c r="B43" s="7" t="s">
        <v>943</v>
      </c>
      <c r="C43" s="26" t="s">
        <v>973</v>
      </c>
      <c r="D43" s="26"/>
      <c r="E43" s="26" t="s">
        <v>974</v>
      </c>
      <c r="F43" s="5"/>
    </row>
    <row r="44" customFormat="false" ht="15" hidden="false" customHeight="true" outlineLevel="0" collapsed="false">
      <c r="A44" s="26" t="n">
        <v>40</v>
      </c>
      <c r="B44" s="7" t="s">
        <v>943</v>
      </c>
      <c r="C44" s="26" t="s">
        <v>975</v>
      </c>
      <c r="D44" s="26"/>
      <c r="E44" s="26" t="s">
        <v>976</v>
      </c>
      <c r="F44" s="5"/>
    </row>
    <row r="45" customFormat="false" ht="15" hidden="false" customHeight="true" outlineLevel="0" collapsed="false">
      <c r="A45" s="26" t="n">
        <v>41</v>
      </c>
      <c r="B45" s="7" t="s">
        <v>943</v>
      </c>
      <c r="C45" s="26" t="s">
        <v>977</v>
      </c>
      <c r="D45" s="26"/>
      <c r="E45" s="26" t="s">
        <v>949</v>
      </c>
      <c r="F45" s="5"/>
    </row>
    <row r="46" customFormat="false" ht="15" hidden="false" customHeight="true" outlineLevel="0" collapsed="false">
      <c r="A46" s="26" t="n">
        <v>42</v>
      </c>
      <c r="B46" s="7" t="s">
        <v>943</v>
      </c>
      <c r="C46" s="26" t="s">
        <v>978</v>
      </c>
      <c r="D46" s="26"/>
      <c r="E46" s="26" t="s">
        <v>974</v>
      </c>
      <c r="F46" s="5"/>
    </row>
    <row r="47" customFormat="false" ht="15" hidden="false" customHeight="true" outlineLevel="0" collapsed="false">
      <c r="A47" s="26" t="n">
        <v>43</v>
      </c>
      <c r="B47" s="7" t="s">
        <v>943</v>
      </c>
      <c r="C47" s="26" t="s">
        <v>979</v>
      </c>
      <c r="D47" s="26"/>
      <c r="E47" s="26" t="s">
        <v>949</v>
      </c>
      <c r="F47" s="5"/>
    </row>
    <row r="48" customFormat="false" ht="15" hidden="false" customHeight="true" outlineLevel="0" collapsed="false">
      <c r="A48" s="26" t="n">
        <v>44</v>
      </c>
      <c r="B48" s="7" t="s">
        <v>943</v>
      </c>
      <c r="C48" s="26" t="s">
        <v>980</v>
      </c>
      <c r="D48" s="26"/>
      <c r="E48" s="26" t="s">
        <v>949</v>
      </c>
      <c r="F48" s="5"/>
    </row>
    <row r="49" customFormat="false" ht="15" hidden="false" customHeight="true" outlineLevel="0" collapsed="false">
      <c r="A49" s="26" t="n">
        <v>45</v>
      </c>
      <c r="B49" s="7" t="s">
        <v>943</v>
      </c>
      <c r="C49" s="26" t="s">
        <v>981</v>
      </c>
      <c r="D49" s="26"/>
      <c r="E49" s="26" t="s">
        <v>949</v>
      </c>
      <c r="F49" s="5"/>
    </row>
    <row r="50" customFormat="false" ht="15" hidden="false" customHeight="true" outlineLevel="0" collapsed="false">
      <c r="A50" s="26" t="n">
        <v>46</v>
      </c>
      <c r="B50" s="7" t="s">
        <v>943</v>
      </c>
      <c r="C50" s="26" t="s">
        <v>982</v>
      </c>
      <c r="D50" s="26"/>
      <c r="E50" s="26" t="s">
        <v>949</v>
      </c>
      <c r="F50" s="5"/>
    </row>
    <row r="51" customFormat="false" ht="15" hidden="false" customHeight="true" outlineLevel="0" collapsed="false">
      <c r="A51" s="26" t="n">
        <v>47</v>
      </c>
      <c r="B51" s="7" t="s">
        <v>943</v>
      </c>
      <c r="C51" s="26" t="s">
        <v>983</v>
      </c>
      <c r="D51" s="26"/>
      <c r="E51" s="26" t="s">
        <v>949</v>
      </c>
      <c r="F51" s="5"/>
    </row>
    <row r="52" customFormat="false" ht="15" hidden="false" customHeight="true" outlineLevel="0" collapsed="false">
      <c r="A52" s="26" t="n">
        <v>48</v>
      </c>
      <c r="B52" s="7" t="s">
        <v>943</v>
      </c>
      <c r="C52" s="26" t="s">
        <v>984</v>
      </c>
      <c r="D52" s="26"/>
      <c r="E52" s="26" t="s">
        <v>976</v>
      </c>
      <c r="F52" s="5"/>
    </row>
    <row r="53" customFormat="false" ht="15" hidden="false" customHeight="true" outlineLevel="0" collapsed="false">
      <c r="A53" s="26" t="n">
        <v>49</v>
      </c>
      <c r="B53" s="7" t="s">
        <v>985</v>
      </c>
      <c r="C53" s="26" t="s">
        <v>439</v>
      </c>
      <c r="D53" s="47" t="n">
        <v>45983</v>
      </c>
      <c r="E53" s="26" t="s">
        <v>986</v>
      </c>
      <c r="F53" s="5"/>
    </row>
    <row r="54" customFormat="false" ht="15" hidden="false" customHeight="true" outlineLevel="0" collapsed="false">
      <c r="A54" s="26" t="n">
        <v>50</v>
      </c>
      <c r="B54" s="7" t="s">
        <v>985</v>
      </c>
      <c r="C54" s="26" t="s">
        <v>442</v>
      </c>
      <c r="D54" s="47" t="n">
        <v>45983</v>
      </c>
      <c r="E54" s="26" t="s">
        <v>986</v>
      </c>
      <c r="F54" s="5"/>
    </row>
    <row r="55" customFormat="false" ht="15" hidden="false" customHeight="true" outlineLevel="0" collapsed="false">
      <c r="A55" s="26" t="n">
        <v>51</v>
      </c>
      <c r="B55" s="7" t="s">
        <v>985</v>
      </c>
      <c r="C55" s="26" t="s">
        <v>444</v>
      </c>
      <c r="D55" s="47" t="n">
        <v>45984</v>
      </c>
      <c r="E55" s="26" t="s">
        <v>987</v>
      </c>
      <c r="F55" s="5"/>
    </row>
    <row r="56" customFormat="false" ht="15" hidden="false" customHeight="true" outlineLevel="0" collapsed="false">
      <c r="A56" s="26" t="n">
        <v>52</v>
      </c>
      <c r="B56" s="7" t="s">
        <v>985</v>
      </c>
      <c r="C56" s="26" t="s">
        <v>447</v>
      </c>
      <c r="D56" s="47" t="n">
        <v>45984</v>
      </c>
      <c r="E56" s="26" t="s">
        <v>987</v>
      </c>
      <c r="F56" s="5"/>
    </row>
    <row r="57" customFormat="false" ht="15" hidden="false" customHeight="true" outlineLevel="0" collapsed="false">
      <c r="A57" s="26" t="n">
        <v>53</v>
      </c>
      <c r="B57" s="7" t="s">
        <v>985</v>
      </c>
      <c r="C57" s="26" t="s">
        <v>449</v>
      </c>
      <c r="D57" s="47" t="n">
        <v>45984</v>
      </c>
      <c r="E57" s="26" t="s">
        <v>987</v>
      </c>
      <c r="F57" s="5"/>
    </row>
    <row r="58" customFormat="false" ht="15" hidden="false" customHeight="true" outlineLevel="0" collapsed="false">
      <c r="A58" s="26" t="n">
        <v>54</v>
      </c>
      <c r="B58" s="7" t="s">
        <v>985</v>
      </c>
      <c r="C58" s="26" t="s">
        <v>450</v>
      </c>
      <c r="D58" s="47" t="n">
        <v>45985</v>
      </c>
      <c r="E58" s="26" t="s">
        <v>988</v>
      </c>
      <c r="F58" s="5"/>
    </row>
    <row r="59" customFormat="false" ht="15" hidden="false" customHeight="true" outlineLevel="0" collapsed="false">
      <c r="A59" s="26" t="n">
        <v>55</v>
      </c>
      <c r="B59" s="7" t="s">
        <v>985</v>
      </c>
      <c r="C59" s="26" t="s">
        <v>458</v>
      </c>
      <c r="D59" s="47" t="n">
        <v>45988</v>
      </c>
      <c r="E59" s="26" t="s">
        <v>989</v>
      </c>
      <c r="F59" s="5"/>
    </row>
    <row r="60" customFormat="false" ht="15" hidden="false" customHeight="true" outlineLevel="0" collapsed="false">
      <c r="A60" s="26" t="n">
        <v>56</v>
      </c>
      <c r="B60" s="7" t="s">
        <v>985</v>
      </c>
      <c r="C60" s="26" t="s">
        <v>469</v>
      </c>
      <c r="D60" s="47" t="n">
        <v>45994</v>
      </c>
      <c r="E60" s="26" t="s">
        <v>990</v>
      </c>
      <c r="F60" s="5"/>
    </row>
    <row r="61" customFormat="false" ht="15" hidden="false" customHeight="true" outlineLevel="0" collapsed="false">
      <c r="A61" s="26" t="n">
        <v>57</v>
      </c>
      <c r="B61" s="7" t="s">
        <v>985</v>
      </c>
      <c r="C61" s="26" t="s">
        <v>476</v>
      </c>
      <c r="D61" s="47" t="n">
        <v>46000</v>
      </c>
      <c r="E61" s="26" t="s">
        <v>991</v>
      </c>
      <c r="F61" s="5"/>
    </row>
    <row r="62" customFormat="false" ht="15" hidden="false" customHeight="true" outlineLevel="0" collapsed="false">
      <c r="A62" s="26" t="n">
        <v>58</v>
      </c>
      <c r="B62" s="7" t="s">
        <v>992</v>
      </c>
      <c r="C62" s="26" t="s">
        <v>494</v>
      </c>
      <c r="D62" s="47" t="n">
        <v>46070</v>
      </c>
      <c r="E62" s="26" t="s">
        <v>993</v>
      </c>
      <c r="F62" s="5"/>
    </row>
    <row r="64" customFormat="false" ht="15" hidden="false" customHeight="true" outlineLevel="0" collapsed="false">
      <c r="A64" s="50" t="s">
        <v>994</v>
      </c>
    </row>
    <row r="65" customFormat="false" ht="15" hidden="false" customHeight="true" outlineLevel="0" collapsed="false">
      <c r="A65" s="44" t="s">
        <v>212</v>
      </c>
      <c r="B65" s="44" t="s">
        <v>216</v>
      </c>
      <c r="C65" s="44" t="s">
        <v>995</v>
      </c>
      <c r="D65" s="44" t="s">
        <v>996</v>
      </c>
      <c r="E65" s="44" t="s">
        <v>667</v>
      </c>
      <c r="F65" s="44" t="s">
        <v>997</v>
      </c>
    </row>
    <row r="66" customFormat="false" ht="15" hidden="false" customHeight="true" outlineLevel="0" collapsed="false">
      <c r="A66" s="26" t="n">
        <v>1</v>
      </c>
      <c r="B66" s="7" t="s">
        <v>83</v>
      </c>
      <c r="C66" s="26" t="s">
        <v>998</v>
      </c>
      <c r="D66" s="26"/>
      <c r="E66" s="26" t="s">
        <v>999</v>
      </c>
      <c r="F66" s="5"/>
    </row>
    <row r="67" customFormat="false" ht="15" hidden="false" customHeight="true" outlineLevel="0" collapsed="false">
      <c r="A67" s="26" t="n">
        <v>2</v>
      </c>
      <c r="B67" s="7" t="s">
        <v>83</v>
      </c>
      <c r="C67" s="26" t="s">
        <v>1000</v>
      </c>
      <c r="D67" s="26"/>
      <c r="E67" s="26" t="s">
        <v>1001</v>
      </c>
      <c r="F67" s="5"/>
    </row>
    <row r="68" customFormat="false" ht="15" hidden="false" customHeight="true" outlineLevel="0" collapsed="false">
      <c r="A68" s="26" t="n">
        <v>3</v>
      </c>
      <c r="B68" s="7" t="s">
        <v>83</v>
      </c>
      <c r="C68" s="26" t="s">
        <v>1002</v>
      </c>
      <c r="D68" s="26"/>
      <c r="E68" s="26" t="s">
        <v>1003</v>
      </c>
      <c r="F68" s="5"/>
    </row>
    <row r="69" customFormat="false" ht="15" hidden="false" customHeight="true" outlineLevel="0" collapsed="false">
      <c r="A69" s="26" t="n">
        <v>4</v>
      </c>
      <c r="B69" s="7" t="s">
        <v>83</v>
      </c>
      <c r="C69" s="26" t="s">
        <v>1004</v>
      </c>
      <c r="D69" s="26"/>
      <c r="E69" s="26" t="s">
        <v>1005</v>
      </c>
      <c r="F69" s="5"/>
    </row>
    <row r="70" customFormat="false" ht="15" hidden="false" customHeight="true" outlineLevel="0" collapsed="false">
      <c r="A70" s="26" t="n">
        <v>5</v>
      </c>
      <c r="B70" s="7" t="s">
        <v>83</v>
      </c>
      <c r="C70" s="26" t="s">
        <v>1006</v>
      </c>
      <c r="D70" s="26"/>
      <c r="E70" s="26" t="s">
        <v>1007</v>
      </c>
      <c r="F70" s="5"/>
    </row>
    <row r="71" customFormat="false" ht="15" hidden="false" customHeight="true" outlineLevel="0" collapsed="false">
      <c r="A71" s="26" t="n">
        <v>6</v>
      </c>
      <c r="B71" s="7" t="s">
        <v>83</v>
      </c>
      <c r="C71" s="26" t="s">
        <v>1008</v>
      </c>
      <c r="D71" s="26"/>
      <c r="E71" s="26" t="s">
        <v>1009</v>
      </c>
      <c r="F71" s="5"/>
    </row>
    <row r="72" customFormat="false" ht="15" hidden="false" customHeight="true" outlineLevel="0" collapsed="false">
      <c r="A72" s="26" t="n">
        <v>7</v>
      </c>
      <c r="B72" s="7" t="s">
        <v>84</v>
      </c>
      <c r="C72" s="26" t="s">
        <v>349</v>
      </c>
      <c r="D72" s="47" t="n">
        <v>45973</v>
      </c>
      <c r="E72" s="26" t="s">
        <v>1010</v>
      </c>
      <c r="F72" s="5"/>
    </row>
    <row r="73" customFormat="false" ht="15" hidden="false" customHeight="true" outlineLevel="0" collapsed="false">
      <c r="A73" s="26" t="n">
        <v>8</v>
      </c>
      <c r="B73" s="7" t="s">
        <v>84</v>
      </c>
      <c r="C73" s="26" t="s">
        <v>1011</v>
      </c>
      <c r="D73" s="47" t="n">
        <v>46019</v>
      </c>
      <c r="E73" s="26" t="s">
        <v>1012</v>
      </c>
      <c r="F73" s="5"/>
    </row>
    <row r="74" customFormat="false" ht="15" hidden="false" customHeight="true" outlineLevel="0" collapsed="false">
      <c r="A74" s="26" t="n">
        <v>9</v>
      </c>
      <c r="B74" s="7" t="s">
        <v>84</v>
      </c>
      <c r="C74" s="26" t="s">
        <v>1013</v>
      </c>
      <c r="D74" s="47" t="n">
        <v>46019</v>
      </c>
      <c r="E74" s="26" t="s">
        <v>1014</v>
      </c>
      <c r="F74" s="5"/>
    </row>
    <row r="75" customFormat="false" ht="15" hidden="false" customHeight="true" outlineLevel="0" collapsed="false">
      <c r="A75" s="26" t="n">
        <v>10</v>
      </c>
      <c r="B75" s="7" t="s">
        <v>84</v>
      </c>
      <c r="C75" s="26" t="s">
        <v>1015</v>
      </c>
      <c r="D75" s="47" t="n">
        <v>46019</v>
      </c>
      <c r="E75" s="26" t="s">
        <v>1016</v>
      </c>
      <c r="F75" s="5"/>
    </row>
    <row r="76" customFormat="false" ht="15" hidden="false" customHeight="true" outlineLevel="0" collapsed="false">
      <c r="A76" s="26" t="n">
        <v>11</v>
      </c>
      <c r="B76" s="7" t="s">
        <v>84</v>
      </c>
      <c r="C76" s="26" t="s">
        <v>1017</v>
      </c>
      <c r="D76" s="47" t="n">
        <v>46020</v>
      </c>
      <c r="E76" s="26" t="s">
        <v>1018</v>
      </c>
      <c r="F7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9"/>
    <col collapsed="false" customWidth="true" hidden="false" outlineLevel="0" max="4" min="4" style="1" width="52"/>
    <col collapsed="false" customWidth="true" hidden="false" outlineLevel="0" max="5" min="5" style="1" width="9"/>
    <col collapsed="false" customWidth="true" hidden="false" outlineLevel="0" max="6" min="6" style="1" width="11"/>
  </cols>
  <sheetData>
    <row r="1" customFormat="false" ht="17.25" hidden="false" customHeight="true" outlineLevel="0" collapsed="false">
      <c r="A1" s="37" t="s">
        <v>1019</v>
      </c>
    </row>
    <row r="2" customFormat="false" ht="15" hidden="false" customHeight="true" outlineLevel="0" collapsed="false">
      <c r="A2" s="48" t="s">
        <v>1020</v>
      </c>
    </row>
    <row r="4" customFormat="false" ht="15" hidden="false" customHeight="true" outlineLevel="0" collapsed="false">
      <c r="A4" s="35" t="s">
        <v>212</v>
      </c>
      <c r="B4" s="35" t="s">
        <v>926</v>
      </c>
      <c r="C4" s="35" t="s">
        <v>195</v>
      </c>
      <c r="D4" s="35" t="s">
        <v>667</v>
      </c>
      <c r="E4" s="35" t="s">
        <v>230</v>
      </c>
      <c r="F4" s="35" t="s">
        <v>369</v>
      </c>
    </row>
    <row r="5" customFormat="false" ht="15" hidden="false" customHeight="true" outlineLevel="0" collapsed="false">
      <c r="A5" s="26" t="n">
        <v>1</v>
      </c>
      <c r="B5" s="47" t="n">
        <v>45678</v>
      </c>
      <c r="C5" s="26" t="n">
        <v>1</v>
      </c>
      <c r="D5" s="26" t="s">
        <v>1021</v>
      </c>
      <c r="E5" s="26" t="s">
        <v>1022</v>
      </c>
      <c r="F5" s="26" t="s">
        <v>381</v>
      </c>
    </row>
    <row r="6" customFormat="false" ht="15" hidden="false" customHeight="true" outlineLevel="0" collapsed="false">
      <c r="A6" s="26" t="n">
        <v>2</v>
      </c>
      <c r="B6" s="47" t="n">
        <v>45684</v>
      </c>
      <c r="C6" s="26" t="n">
        <v>2</v>
      </c>
      <c r="D6" s="26" t="s">
        <v>1023</v>
      </c>
      <c r="E6" s="26" t="s">
        <v>1022</v>
      </c>
      <c r="F6" s="26" t="s">
        <v>381</v>
      </c>
    </row>
    <row r="7" customFormat="false" ht="15" hidden="false" customHeight="true" outlineLevel="0" collapsed="false">
      <c r="A7" s="26" t="n">
        <v>3</v>
      </c>
      <c r="B7" s="47" t="n">
        <v>45685</v>
      </c>
      <c r="C7" s="26" t="n">
        <v>1</v>
      </c>
      <c r="D7" s="26" t="s">
        <v>1023</v>
      </c>
      <c r="E7" s="26" t="s">
        <v>1022</v>
      </c>
      <c r="F7" s="26" t="s">
        <v>381</v>
      </c>
    </row>
    <row r="8" customFormat="false" ht="15" hidden="false" customHeight="true" outlineLevel="0" collapsed="false">
      <c r="A8" s="26" t="n">
        <v>4</v>
      </c>
      <c r="B8" s="47" t="n">
        <v>45686</v>
      </c>
      <c r="C8" s="26" t="n">
        <v>3</v>
      </c>
      <c r="D8" s="26" t="s">
        <v>1023</v>
      </c>
      <c r="E8" s="26" t="s">
        <v>1022</v>
      </c>
      <c r="F8" s="26" t="s">
        <v>381</v>
      </c>
    </row>
    <row r="9" customFormat="false" ht="15" hidden="false" customHeight="true" outlineLevel="0" collapsed="false">
      <c r="A9" s="26" t="n">
        <v>5</v>
      </c>
      <c r="B9" s="47" t="n">
        <v>45689</v>
      </c>
      <c r="C9" s="26" t="n">
        <v>1</v>
      </c>
      <c r="D9" s="26" t="s">
        <v>1023</v>
      </c>
      <c r="E9" s="26" t="s">
        <v>1022</v>
      </c>
      <c r="F9" s="26" t="s">
        <v>381</v>
      </c>
    </row>
    <row r="10" customFormat="false" ht="15" hidden="false" customHeight="true" outlineLevel="0" collapsed="false">
      <c r="A10" s="26" t="n">
        <v>6</v>
      </c>
      <c r="B10" s="47" t="n">
        <v>45694</v>
      </c>
      <c r="C10" s="26" t="n">
        <v>1</v>
      </c>
      <c r="D10" s="26" t="s">
        <v>1023</v>
      </c>
      <c r="E10" s="26" t="s">
        <v>1022</v>
      </c>
      <c r="F10" s="26" t="s">
        <v>381</v>
      </c>
    </row>
    <row r="11" customFormat="false" ht="15" hidden="false" customHeight="true" outlineLevel="0" collapsed="false">
      <c r="A11" s="26" t="n">
        <v>7</v>
      </c>
      <c r="B11" s="47" t="n">
        <v>45707</v>
      </c>
      <c r="C11" s="26" t="n">
        <v>1</v>
      </c>
      <c r="D11" s="26" t="s">
        <v>1023</v>
      </c>
      <c r="E11" s="26" t="s">
        <v>1022</v>
      </c>
      <c r="F11" s="26" t="s">
        <v>381</v>
      </c>
    </row>
    <row r="12" customFormat="false" ht="15" hidden="false" customHeight="true" outlineLevel="0" collapsed="false">
      <c r="A12" s="26" t="n">
        <v>8</v>
      </c>
      <c r="B12" s="47" t="n">
        <v>45719</v>
      </c>
      <c r="C12" s="26" t="n">
        <v>1</v>
      </c>
      <c r="D12" s="26" t="s">
        <v>1023</v>
      </c>
      <c r="E12" s="26" t="s">
        <v>1022</v>
      </c>
      <c r="F12" s="26" t="s">
        <v>381</v>
      </c>
    </row>
    <row r="13" customFormat="false" ht="15" hidden="false" customHeight="true" outlineLevel="0" collapsed="false">
      <c r="A13" s="26" t="n">
        <v>9</v>
      </c>
      <c r="B13" s="47" t="n">
        <v>45727</v>
      </c>
      <c r="C13" s="26" t="n">
        <v>3</v>
      </c>
      <c r="D13" s="26" t="s">
        <v>1024</v>
      </c>
      <c r="E13" s="26" t="s">
        <v>1022</v>
      </c>
      <c r="F13" s="7" t="s">
        <v>426</v>
      </c>
    </row>
    <row r="14" customFormat="false" ht="15" hidden="false" customHeight="true" outlineLevel="0" collapsed="false">
      <c r="A14" s="26" t="n">
        <v>10</v>
      </c>
      <c r="B14" s="47" t="n">
        <v>45734</v>
      </c>
      <c r="C14" s="26" t="n">
        <v>1</v>
      </c>
      <c r="D14" s="26" t="s">
        <v>1023</v>
      </c>
      <c r="E14" s="26" t="s">
        <v>1022</v>
      </c>
      <c r="F14" s="26" t="s">
        <v>381</v>
      </c>
    </row>
    <row r="15" customFormat="false" ht="15" hidden="false" customHeight="true" outlineLevel="0" collapsed="false">
      <c r="A15" s="26" t="n">
        <v>11</v>
      </c>
      <c r="B15" s="47" t="n">
        <v>45738</v>
      </c>
      <c r="C15" s="26" t="n">
        <v>2</v>
      </c>
      <c r="D15" s="26" t="s">
        <v>1023</v>
      </c>
      <c r="E15" s="26" t="s">
        <v>1022</v>
      </c>
      <c r="F15" s="26" t="s">
        <v>381</v>
      </c>
    </row>
    <row r="16" customFormat="false" ht="15" hidden="false" customHeight="true" outlineLevel="0" collapsed="false">
      <c r="A16" s="26" t="n">
        <v>12</v>
      </c>
      <c r="B16" s="47" t="n">
        <v>45755</v>
      </c>
      <c r="C16" s="26" t="n">
        <v>1</v>
      </c>
      <c r="D16" s="26" t="s">
        <v>1023</v>
      </c>
      <c r="E16" s="26" t="s">
        <v>1022</v>
      </c>
      <c r="F16" s="26" t="s">
        <v>381</v>
      </c>
    </row>
    <row r="17" customFormat="false" ht="15" hidden="false" customHeight="true" outlineLevel="0" collapsed="false">
      <c r="A17" s="26" t="n">
        <v>13</v>
      </c>
      <c r="B17" s="47" t="n">
        <v>45782</v>
      </c>
      <c r="C17" s="26" t="n">
        <v>1</v>
      </c>
      <c r="D17" s="26" t="s">
        <v>1023</v>
      </c>
      <c r="E17" s="26" t="s">
        <v>1022</v>
      </c>
      <c r="F17" s="26" t="s">
        <v>381</v>
      </c>
    </row>
    <row r="18" customFormat="false" ht="15" hidden="false" customHeight="true" outlineLevel="0" collapsed="false">
      <c r="A18" s="26" t="n">
        <v>14</v>
      </c>
      <c r="B18" s="47" t="n">
        <v>45734</v>
      </c>
      <c r="C18" s="26" t="n">
        <v>1</v>
      </c>
      <c r="D18" s="26" t="s">
        <v>1025</v>
      </c>
      <c r="E18" s="26" t="s">
        <v>1022</v>
      </c>
      <c r="F18" s="7" t="s">
        <v>426</v>
      </c>
    </row>
    <row r="19" customFormat="false" ht="15" hidden="false" customHeight="true" outlineLevel="0" collapsed="false">
      <c r="A19" s="26" t="n">
        <v>15</v>
      </c>
      <c r="B19" s="47" t="n">
        <v>45786</v>
      </c>
      <c r="C19" s="26" t="n">
        <v>3</v>
      </c>
      <c r="D19" s="26" t="s">
        <v>1026</v>
      </c>
      <c r="E19" s="26" t="s">
        <v>1022</v>
      </c>
      <c r="F19" s="26" t="s">
        <v>376</v>
      </c>
    </row>
    <row r="20" customFormat="false" ht="15" hidden="false" customHeight="true" outlineLevel="0" collapsed="false">
      <c r="A20" s="26" t="n">
        <v>16</v>
      </c>
      <c r="B20" s="47" t="n">
        <v>45789</v>
      </c>
      <c r="C20" s="26" t="n">
        <v>1</v>
      </c>
      <c r="D20" s="26" t="s">
        <v>1023</v>
      </c>
      <c r="E20" s="26" t="s">
        <v>1022</v>
      </c>
      <c r="F20" s="26" t="s">
        <v>381</v>
      </c>
    </row>
    <row r="21" customFormat="false" ht="15" hidden="false" customHeight="true" outlineLevel="0" collapsed="false">
      <c r="A21" s="26" t="n">
        <v>17</v>
      </c>
      <c r="B21" s="47" t="n">
        <v>45795</v>
      </c>
      <c r="C21" s="26" t="n">
        <v>2</v>
      </c>
      <c r="D21" s="26" t="s">
        <v>1027</v>
      </c>
      <c r="E21" s="26" t="s">
        <v>1022</v>
      </c>
      <c r="F21" s="26" t="s">
        <v>376</v>
      </c>
    </row>
    <row r="22" customFormat="false" ht="15" hidden="false" customHeight="true" outlineLevel="0" collapsed="false">
      <c r="A22" s="26" t="n">
        <v>18</v>
      </c>
      <c r="B22" s="47" t="n">
        <v>45796</v>
      </c>
      <c r="C22" s="26" t="n">
        <v>1</v>
      </c>
      <c r="D22" s="26" t="s">
        <v>1023</v>
      </c>
      <c r="E22" s="26" t="s">
        <v>1028</v>
      </c>
      <c r="F22" s="26" t="s">
        <v>381</v>
      </c>
    </row>
    <row r="23" customFormat="false" ht="15" hidden="false" customHeight="true" outlineLevel="0" collapsed="false">
      <c r="A23" s="26" t="n">
        <v>19</v>
      </c>
      <c r="B23" s="47" t="n">
        <v>45802</v>
      </c>
      <c r="C23" s="26" t="n">
        <v>1</v>
      </c>
      <c r="D23" s="26" t="s">
        <v>1023</v>
      </c>
      <c r="E23" s="26" t="s">
        <v>1028</v>
      </c>
      <c r="F23" s="26" t="s">
        <v>381</v>
      </c>
    </row>
    <row r="24" customFormat="false" ht="15" hidden="false" customHeight="true" outlineLevel="0" collapsed="false">
      <c r="A24" s="26" t="n">
        <v>20</v>
      </c>
      <c r="B24" s="47" t="n">
        <v>45812</v>
      </c>
      <c r="C24" s="26" t="n">
        <v>2</v>
      </c>
      <c r="D24" s="26" t="s">
        <v>1023</v>
      </c>
      <c r="E24" s="26" t="s">
        <v>1028</v>
      </c>
      <c r="F24" s="26" t="s">
        <v>381</v>
      </c>
    </row>
    <row r="25" customFormat="false" ht="15" hidden="false" customHeight="true" outlineLevel="0" collapsed="false">
      <c r="A25" s="26" t="n">
        <v>21</v>
      </c>
      <c r="B25" s="47" t="n">
        <v>45825</v>
      </c>
      <c r="C25" s="26" t="n">
        <v>3</v>
      </c>
      <c r="D25" s="26" t="s">
        <v>1029</v>
      </c>
      <c r="E25" s="26" t="s">
        <v>1028</v>
      </c>
      <c r="F25" s="26" t="s">
        <v>376</v>
      </c>
    </row>
    <row r="26" customFormat="false" ht="15" hidden="false" customHeight="true" outlineLevel="0" collapsed="false">
      <c r="A26" s="26" t="n">
        <v>22</v>
      </c>
      <c r="B26" s="47" t="n">
        <v>45826</v>
      </c>
      <c r="C26" s="26" t="n">
        <v>4</v>
      </c>
      <c r="D26" s="26" t="s">
        <v>1030</v>
      </c>
      <c r="E26" s="26" t="s">
        <v>1028</v>
      </c>
      <c r="F26" s="26" t="s">
        <v>376</v>
      </c>
    </row>
    <row r="27" customFormat="false" ht="15" hidden="false" customHeight="true" outlineLevel="0" collapsed="false">
      <c r="A27" s="26" t="n">
        <v>23</v>
      </c>
      <c r="B27" s="47" t="n">
        <v>45829</v>
      </c>
      <c r="C27" s="26" t="n">
        <v>1</v>
      </c>
      <c r="D27" s="26" t="s">
        <v>1023</v>
      </c>
      <c r="E27" s="26" t="s">
        <v>1028</v>
      </c>
      <c r="F27" s="26" t="s">
        <v>381</v>
      </c>
    </row>
    <row r="28" customFormat="false" ht="15" hidden="false" customHeight="true" outlineLevel="0" collapsed="false">
      <c r="A28" s="26" t="n">
        <v>24</v>
      </c>
      <c r="B28" s="47" t="n">
        <v>45839</v>
      </c>
      <c r="C28" s="26" t="n">
        <v>1</v>
      </c>
      <c r="D28" s="26" t="s">
        <v>1031</v>
      </c>
      <c r="E28" s="26" t="s">
        <v>1028</v>
      </c>
      <c r="F28" s="26" t="s">
        <v>381</v>
      </c>
    </row>
    <row r="29" customFormat="false" ht="15" hidden="false" customHeight="true" outlineLevel="0" collapsed="false">
      <c r="A29" s="26" t="n">
        <v>25</v>
      </c>
      <c r="B29" s="47" t="n">
        <v>45842</v>
      </c>
      <c r="C29" s="26" t="n">
        <v>1</v>
      </c>
      <c r="D29" s="26" t="s">
        <v>1031</v>
      </c>
      <c r="E29" s="26" t="s">
        <v>1028</v>
      </c>
      <c r="F29" s="26" t="s">
        <v>381</v>
      </c>
    </row>
    <row r="30" customFormat="false" ht="15" hidden="false" customHeight="true" outlineLevel="0" collapsed="false">
      <c r="B30" s="28" t="s">
        <v>85</v>
      </c>
      <c r="C30" s="51" t="n">
        <f aca="false">SUM(C5:C29)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</cols>
  <sheetData>
    <row r="1" customFormat="false" ht="17.25" hidden="false" customHeight="true" outlineLevel="0" collapsed="false">
      <c r="A1" s="37" t="s">
        <v>1032</v>
      </c>
    </row>
    <row r="3" customFormat="false" ht="15" hidden="false" customHeight="true" outlineLevel="0" collapsed="false">
      <c r="A3" s="35" t="s">
        <v>216</v>
      </c>
      <c r="B3" s="35" t="s">
        <v>198</v>
      </c>
    </row>
    <row r="4" customFormat="false" ht="15" hidden="false" customHeight="true" outlineLevel="0" collapsed="false">
      <c r="A4" s="26" t="s">
        <v>302</v>
      </c>
      <c r="B4" s="26" t="s">
        <v>9</v>
      </c>
    </row>
    <row r="5" customFormat="false" ht="15" hidden="false" customHeight="true" outlineLevel="0" collapsed="false">
      <c r="A5" s="26" t="s">
        <v>413</v>
      </c>
      <c r="B5" s="26" t="s">
        <v>9</v>
      </c>
    </row>
    <row r="6" customFormat="false" ht="15" hidden="false" customHeight="true" outlineLevel="0" collapsed="false">
      <c r="A6" s="26" t="s">
        <v>1033</v>
      </c>
      <c r="B6" s="26" t="s">
        <v>9</v>
      </c>
    </row>
    <row r="7" customFormat="false" ht="15" hidden="false" customHeight="true" outlineLevel="0" collapsed="false">
      <c r="A7" s="26" t="s">
        <v>306</v>
      </c>
      <c r="B7" s="26" t="s">
        <v>9</v>
      </c>
    </row>
    <row r="8" customFormat="false" ht="15" hidden="false" customHeight="true" outlineLevel="0" collapsed="false">
      <c r="A8" s="26" t="s">
        <v>329</v>
      </c>
      <c r="B8" s="26" t="s">
        <v>9</v>
      </c>
    </row>
    <row r="9" customFormat="false" ht="15" hidden="false" customHeight="true" outlineLevel="0" collapsed="false">
      <c r="A9" s="26" t="s">
        <v>15</v>
      </c>
      <c r="B9" s="26" t="s">
        <v>5</v>
      </c>
    </row>
    <row r="10" customFormat="false" ht="15" hidden="false" customHeight="true" outlineLevel="0" collapsed="false">
      <c r="A10" s="26" t="s">
        <v>16</v>
      </c>
      <c r="B10" s="26" t="s">
        <v>17</v>
      </c>
    </row>
    <row r="11" customFormat="false" ht="15" hidden="false" customHeight="true" outlineLevel="0" collapsed="false">
      <c r="A11" s="26" t="s">
        <v>18</v>
      </c>
      <c r="B11" s="26" t="s">
        <v>3</v>
      </c>
    </row>
    <row r="12" customFormat="false" ht="15" hidden="false" customHeight="true" outlineLevel="0" collapsed="false">
      <c r="A12" s="26" t="s">
        <v>199</v>
      </c>
      <c r="B12" s="26" t="s">
        <v>3</v>
      </c>
    </row>
    <row r="13" customFormat="false" ht="15" hidden="false" customHeight="true" outlineLevel="0" collapsed="false">
      <c r="A13" s="26" t="s">
        <v>353</v>
      </c>
      <c r="B13" s="26" t="s">
        <v>20</v>
      </c>
    </row>
    <row r="14" customFormat="false" ht="15" hidden="false" customHeight="true" outlineLevel="0" collapsed="false">
      <c r="A14" s="26" t="s">
        <v>132</v>
      </c>
      <c r="B14" s="26" t="s">
        <v>20</v>
      </c>
    </row>
    <row r="16" customFormat="false" ht="15" hidden="false" customHeight="true" outlineLevel="0" collapsed="false">
      <c r="A16" s="28" t="s">
        <v>1034</v>
      </c>
    </row>
    <row r="17" customFormat="false" ht="15" hidden="false" customHeight="true" outlineLevel="0" collapsed="false">
      <c r="A17" s="35" t="s">
        <v>608</v>
      </c>
      <c r="B17" s="35" t="s">
        <v>1035</v>
      </c>
    </row>
    <row r="18" customFormat="false" ht="15" hidden="false" customHeight="true" outlineLevel="0" collapsed="false">
      <c r="A18" s="26" t="s">
        <v>302</v>
      </c>
      <c r="B18" s="26" t="s">
        <v>15</v>
      </c>
    </row>
    <row r="19" customFormat="false" ht="15" hidden="false" customHeight="true" outlineLevel="0" collapsed="false">
      <c r="A19" s="26" t="s">
        <v>413</v>
      </c>
      <c r="B19" s="26" t="s">
        <v>15</v>
      </c>
    </row>
    <row r="20" customFormat="false" ht="15" hidden="false" customHeight="true" outlineLevel="0" collapsed="false">
      <c r="A20" s="26" t="s">
        <v>1033</v>
      </c>
      <c r="B20" s="26" t="s">
        <v>15</v>
      </c>
    </row>
    <row r="21" customFormat="false" ht="15" hidden="false" customHeight="true" outlineLevel="0" collapsed="false">
      <c r="A21" s="26" t="s">
        <v>306</v>
      </c>
      <c r="B21" s="26" t="s">
        <v>15</v>
      </c>
    </row>
    <row r="22" customFormat="false" ht="15" hidden="false" customHeight="true" outlineLevel="0" collapsed="false">
      <c r="A22" s="26" t="s">
        <v>329</v>
      </c>
      <c r="B22" s="26" t="s">
        <v>15</v>
      </c>
    </row>
    <row r="23" customFormat="false" ht="15" hidden="false" customHeight="true" outlineLevel="0" collapsed="false">
      <c r="A23" s="26" t="s">
        <v>15</v>
      </c>
      <c r="B23" s="26" t="s">
        <v>16</v>
      </c>
    </row>
    <row r="24" customFormat="false" ht="15" hidden="false" customHeight="true" outlineLevel="0" collapsed="false">
      <c r="A24" s="26" t="s">
        <v>16</v>
      </c>
      <c r="B24" s="26" t="s">
        <v>18</v>
      </c>
    </row>
    <row r="25" customFormat="false" ht="15" hidden="false" customHeight="true" outlineLevel="0" collapsed="false">
      <c r="A25" s="26" t="s">
        <v>18</v>
      </c>
      <c r="B25" s="26" t="s">
        <v>199</v>
      </c>
    </row>
    <row r="26" customFormat="false" ht="15" hidden="false" customHeight="true" outlineLevel="0" collapsed="false">
      <c r="A26" s="26" t="s">
        <v>353</v>
      </c>
      <c r="B26" s="26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2026-07-20T08:29:55Z</dcterms:created>
  <dc:creator>openpyxl</dc:creator>
  <dc:description/>
  <dc:language>en-US</dc:language>
  <cp:lastModifiedBy/>
  <dcterms:modified xsi:type="dcterms:W3CDTF">2026-07-20T09:25:52Z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